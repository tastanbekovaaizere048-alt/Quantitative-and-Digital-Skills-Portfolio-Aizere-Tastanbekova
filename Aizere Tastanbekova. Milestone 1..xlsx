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1(samsung)" sheetId="1" r:id="rId5"/>
    <sheet state="visible" name="Company2(amazon)" sheetId="2" r:id="rId6"/>
    <sheet state="visible" name="Weekly returns" sheetId="3" r:id="rId7"/>
    <sheet state="visible" name="Description of the results" sheetId="4" r:id="rId8"/>
    <sheet state="visible" name="Variance deviation" sheetId="5" r:id="rId9"/>
    <sheet state="visible" name="Coefficient of variation" sheetId="6" r:id="rId10"/>
    <sheet state="visible" name="Identifying Z outliers" sheetId="7" r:id="rId11"/>
    <sheet state="visible" name="Covariance and correlation coef" sheetId="8" r:id="rId12"/>
    <sheet state="visible" name="Sharpe ratio" sheetId="9" r:id="rId13"/>
    <sheet state="visible" name="Regression" sheetId="10" r:id="rId14"/>
  </sheets>
  <definedNames>
    <definedName hidden="1" localSheetId="2" name="_xlnm._FilterDatabase">'Weekly returns'!$A$1:$A$1001</definedName>
  </definedNames>
  <calcPr/>
</workbook>
</file>

<file path=xl/sharedStrings.xml><?xml version="1.0" encoding="utf-8"?>
<sst xmlns="http://schemas.openxmlformats.org/spreadsheetml/2006/main" count="500" uniqueCount="146">
  <si>
    <t>Date</t>
  </si>
  <si>
    <t>Open</t>
  </si>
  <si>
    <t>High</t>
  </si>
  <si>
    <t>Low</t>
  </si>
  <si>
    <t>Close</t>
  </si>
  <si>
    <t>Adj Close</t>
  </si>
  <si>
    <t>Volume</t>
  </si>
  <si>
    <t>09/02/2026</t>
  </si>
  <si>
    <t>02/02/2026</t>
  </si>
  <si>
    <t>26/01/2026</t>
  </si>
  <si>
    <t>19/01/2026</t>
  </si>
  <si>
    <t>12/01/2026</t>
  </si>
  <si>
    <t>Samsung Electronics Co., Ltd. (005930.KS)</t>
  </si>
  <si>
    <t>05/01/2026</t>
  </si>
  <si>
    <t>29/12/2025</t>
  </si>
  <si>
    <t>22/12/2025</t>
  </si>
  <si>
    <t>15/12/2025</t>
  </si>
  <si>
    <t>08/12/2025</t>
  </si>
  <si>
    <t>01/12/2025</t>
  </si>
  <si>
    <t>24/11/2025</t>
  </si>
  <si>
    <t>17/11/2025</t>
  </si>
  <si>
    <t>10/11/2025</t>
  </si>
  <si>
    <t>03/11/2025</t>
  </si>
  <si>
    <t>27/10/2025</t>
  </si>
  <si>
    <t>20/10/2025</t>
  </si>
  <si>
    <t>13/10/2025</t>
  </si>
  <si>
    <t>06/10/2025</t>
  </si>
  <si>
    <t>29/09/2025</t>
  </si>
  <si>
    <t>22/09/2025</t>
  </si>
  <si>
    <t>15/09/2025</t>
  </si>
  <si>
    <t>08/09/2025</t>
  </si>
  <si>
    <t>01/09/2025</t>
  </si>
  <si>
    <t>25/08/2025</t>
  </si>
  <si>
    <t>18/08/2025</t>
  </si>
  <si>
    <t>11/08/2025</t>
  </si>
  <si>
    <t>04/08/2025</t>
  </si>
  <si>
    <t>28/07/2025</t>
  </si>
  <si>
    <t>21/07/2025</t>
  </si>
  <si>
    <t>14/07/2025</t>
  </si>
  <si>
    <t>07/07/2025</t>
  </si>
  <si>
    <t>30/06/2025</t>
  </si>
  <si>
    <t>23/06/2025</t>
  </si>
  <si>
    <t>16/06/2025</t>
  </si>
  <si>
    <t>09/06/2025</t>
  </si>
  <si>
    <t>02/06/2025</t>
  </si>
  <si>
    <t>26/05/2025</t>
  </si>
  <si>
    <t>19/05/2025</t>
  </si>
  <si>
    <t>12/05/2025</t>
  </si>
  <si>
    <t>05/05/2025</t>
  </si>
  <si>
    <t>28/04/2025</t>
  </si>
  <si>
    <t>21/04/2025</t>
  </si>
  <si>
    <t>14/04/2025</t>
  </si>
  <si>
    <t>07/04/2025</t>
  </si>
  <si>
    <t>31/03/2025</t>
  </si>
  <si>
    <t>24/03/2025</t>
  </si>
  <si>
    <t>17/03/2025</t>
  </si>
  <si>
    <t>10/03/2025</t>
  </si>
  <si>
    <t>03/03/2025</t>
  </si>
  <si>
    <t>24/02/2025</t>
  </si>
  <si>
    <t>17/02/2025</t>
  </si>
  <si>
    <t>10/02/2025</t>
  </si>
  <si>
    <t>Amazon.com, Inc. (AMZN)</t>
  </si>
  <si>
    <t>WEEKLY RETURN</t>
  </si>
  <si>
    <t>CUMULATIVE RETURN</t>
  </si>
  <si>
    <t>Correlation between the two stocks</t>
  </si>
  <si>
    <t>Average weekly return:</t>
  </si>
  <si>
    <t>Volatility(standard deviation of returns):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</si>
  <si>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</si>
  <si>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</si>
  <si>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</si>
  <si>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</si>
  <si>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</si>
  <si>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</si>
  <si>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</si>
  <si>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</si>
  <si>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</si>
  <si>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</si>
  <si>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Year</t>
  </si>
  <si>
    <t>Growth Portfolio Returns</t>
  </si>
  <si>
    <t>Value Portfolio Returns</t>
  </si>
  <si>
    <t>GROWTH</t>
  </si>
  <si>
    <t>VALUE</t>
  </si>
  <si>
    <t>Returns are better for Value portfolio</t>
  </si>
  <si>
    <t>Dispersion is greater for the Growth Porfolio</t>
  </si>
  <si>
    <t>CV(coeffcient of variation)</t>
  </si>
  <si>
    <t>Z min</t>
  </si>
  <si>
    <t>Z max</t>
  </si>
  <si>
    <t>dev growth</t>
  </si>
  <si>
    <t>dev value</t>
  </si>
  <si>
    <t>Product</t>
  </si>
  <si>
    <t>Covariance</t>
  </si>
  <si>
    <t>Correlation</t>
  </si>
  <si>
    <t>Manual</t>
  </si>
  <si>
    <t>Standard Deviation</t>
  </si>
  <si>
    <t>Sharpe ratio</t>
  </si>
  <si>
    <t>T bill</t>
  </si>
  <si>
    <t xml:space="preserve">Samsung Electronics Co., Ltd. (005930.KS) weekly return </t>
  </si>
  <si>
    <t>Amazon.com, Inc. (AMZN) weekly return</t>
  </si>
  <si>
    <t>0.05</t>
  </si>
  <si>
    <t>0.00</t>
  </si>
  <si>
    <t>-0.01</t>
  </si>
  <si>
    <t>-0.12</t>
  </si>
  <si>
    <t>SUMMARY OUTPUT</t>
  </si>
  <si>
    <t>0.06</t>
  </si>
  <si>
    <t>0.02</t>
  </si>
  <si>
    <t>Regression Statistics</t>
  </si>
  <si>
    <t>0.07</t>
  </si>
  <si>
    <t>-0.03</t>
  </si>
  <si>
    <t>Multiple R</t>
  </si>
  <si>
    <t>0.09</t>
  </si>
  <si>
    <t>R Square</t>
  </si>
  <si>
    <t>0.10</t>
  </si>
  <si>
    <t>Adjusted R Square</t>
  </si>
  <si>
    <t>Standard Error</t>
  </si>
  <si>
    <t>-0.02</t>
  </si>
  <si>
    <t>0.01</t>
  </si>
  <si>
    <t>Observations</t>
  </si>
  <si>
    <t>0.08</t>
  </si>
  <si>
    <t>ANOVA</t>
  </si>
  <si>
    <t>df</t>
  </si>
  <si>
    <t>SS</t>
  </si>
  <si>
    <t>MS</t>
  </si>
  <si>
    <t>F</t>
  </si>
  <si>
    <t>Significance F</t>
  </si>
  <si>
    <t>-0.06</t>
  </si>
  <si>
    <t>Regression</t>
  </si>
  <si>
    <t>-0.04</t>
  </si>
  <si>
    <t>Residual</t>
  </si>
  <si>
    <t>-0.09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</si>
  <si>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</si>
  <si>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</si>
  <si>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</si>
  <si>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</si>
  <si>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</si>
  <si>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</si>
  <si>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</si>
  <si>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</si>
  <si>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0.04</t>
  </si>
  <si>
    <t>Intercept</t>
  </si>
  <si>
    <t>Samsung Electronics Co., Ltd. (005930.KS) weekly return</t>
  </si>
  <si>
    <t>-0.05</t>
  </si>
  <si>
    <t>X (Independent variable) = Samsung weekly return</t>
  </si>
  <si>
    <t>Y (Dependent variable) = Amazon weekly return</t>
  </si>
  <si>
    <t>-0.07</t>
  </si>
  <si>
    <t>-0.11</t>
  </si>
  <si>
    <t>0.13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</si>
</sst>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b/>
      <sz val="9.0"/>
      <color rgb="FF232A31"/>
      <name val="&quot;GT America&quot;"/>
    </font>
    <font>
      <sz val="11.0"/>
      <color rgb="FF232A31"/>
      <name val="&quot;GT America&quot;"/>
    </font>
    <font>
      <b/>
      <sz val="18.0"/>
      <color rgb="FF232A31"/>
      <name val="Arial"/>
    </font>
    <font>
      <color theme="1"/>
      <name val="Arial"/>
      <scheme val="minor"/>
    </font>
    <font>
      <sz val="11.0"/>
      <color rgb="FF232A31"/>
      <name val="Arial"/>
    </font>
    <font>
      <sz val="9.0"/>
      <color rgb="FF232A31"/>
      <name val="Arial"/>
    </font>
    <font>
      <u/>
      <sz val="9.0"/>
      <color rgb="FF0000FF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sz val="11.0"/>
      <color rgb="FF232A31"/>
      <name val="GT America"/>
    </font>
    <font>
      <b/>
      <sz val="9.0"/>
      <color rgb="FF232A31"/>
      <name val="Arial"/>
    </font>
    <font>
      <b/>
      <sz val="9.0"/>
      <color theme="1"/>
      <name val="Arial"/>
    </font>
    <font>
      <sz val="10.0"/>
      <color theme="1"/>
      <name val="Arial"/>
    </font>
    <font>
      <color rgb="FF000000"/>
      <name val="Arial"/>
      <scheme val="minor"/>
    </font>
    <font>
      <b/>
      <sz val="10.0"/>
      <color rgb="FF000000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/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 shrinkToFit="0" wrapText="0"/>
    </xf>
    <xf borderId="0" fillId="2" fontId="1" numFmtId="4" xfId="0" applyAlignment="1" applyFont="1" applyNumberFormat="1">
      <alignment horizontal="right" readingOrder="0" shrinkToFit="0" wrapText="0"/>
    </xf>
    <xf borderId="0" fillId="3" fontId="2" numFmtId="49" xfId="0" applyAlignment="1" applyFill="1" applyFont="1" applyNumberFormat="1">
      <alignment horizontal="left" readingOrder="0" shrinkToFit="0" wrapText="0"/>
    </xf>
    <xf borderId="0" fillId="3" fontId="2" numFmtId="4" xfId="0" applyAlignment="1" applyFont="1" applyNumberFormat="1">
      <alignment horizontal="right" readingOrder="0" shrinkToFit="0" wrapText="0"/>
    </xf>
    <xf borderId="0" fillId="2" fontId="2" numFmtId="49" xfId="0" applyAlignment="1" applyFont="1" applyNumberFormat="1">
      <alignment horizontal="left" readingOrder="0" shrinkToFit="0" wrapText="0"/>
    </xf>
    <xf borderId="0" fillId="2" fontId="2" numFmtId="4" xfId="0" applyAlignment="1" applyFont="1" applyNumberFormat="1">
      <alignment horizontal="right" readingOrder="0" shrinkToFit="0" wrapText="0"/>
    </xf>
    <xf borderId="0" fillId="2" fontId="3" numFmtId="0" xfId="0" applyAlignment="1" applyFont="1">
      <alignment readingOrder="0"/>
    </xf>
    <xf borderId="0" fillId="0" fontId="4" numFmtId="49" xfId="0" applyFont="1" applyNumberFormat="1"/>
    <xf borderId="0" fillId="0" fontId="4" numFmtId="4" xfId="0" applyFont="1" applyNumberFormat="1"/>
    <xf borderId="0" fillId="3" fontId="5" numFmtId="49" xfId="0" applyAlignment="1" applyFont="1" applyNumberFormat="1">
      <alignment horizontal="left" readingOrder="0" shrinkToFit="0" wrapText="0"/>
    </xf>
    <xf borderId="0" fillId="3" fontId="5" numFmtId="4" xfId="0" applyAlignment="1" applyFont="1" applyNumberFormat="1">
      <alignment horizontal="right" readingOrder="0" shrinkToFit="0" wrapText="0"/>
    </xf>
    <xf borderId="0" fillId="2" fontId="6" numFmtId="164" xfId="0" applyAlignment="1" applyFont="1" applyNumberFormat="1">
      <alignment horizontal="left" readingOrder="0" shrinkToFit="0" wrapText="0"/>
    </xf>
    <xf borderId="0" fillId="2" fontId="7" numFmtId="0" xfId="0" applyAlignment="1" applyFont="1">
      <alignment horizontal="right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3" fontId="2" numFmtId="164" xfId="0" applyAlignment="1" applyFont="1" applyNumberFormat="1">
      <alignment horizontal="left" readingOrder="0" shrinkToFit="0" wrapText="0"/>
    </xf>
    <xf borderId="0" fillId="0" fontId="11" numFmtId="0" xfId="0" applyAlignment="1" applyFont="1">
      <alignment readingOrder="0" shrinkToFit="0" wrapText="1"/>
    </xf>
    <xf borderId="0" fillId="0" fontId="12" numFmtId="4" xfId="0" applyAlignment="1" applyFont="1" applyNumberFormat="1">
      <alignment readingOrder="0" shrinkToFit="0" wrapText="1"/>
    </xf>
    <xf borderId="0" fillId="0" fontId="10" numFmtId="10" xfId="0" applyAlignment="1" applyFont="1" applyNumberFormat="1">
      <alignment horizontal="right" vertical="bottom"/>
    </xf>
    <xf borderId="0" fillId="3" fontId="13" numFmtId="49" xfId="0" applyAlignment="1" applyFont="1" applyNumberFormat="1">
      <alignment vertical="bottom"/>
    </xf>
    <xf borderId="0" fillId="3" fontId="5" numFmtId="4" xfId="0" applyAlignment="1" applyFont="1" applyNumberFormat="1">
      <alignment horizontal="right" readingOrder="0" vertical="bottom"/>
    </xf>
    <xf borderId="0" fillId="3" fontId="5" numFmtId="4" xfId="0" applyAlignment="1" applyFont="1" applyNumberFormat="1">
      <alignment horizontal="right" vertical="bottom"/>
    </xf>
    <xf borderId="0" fillId="0" fontId="4" numFmtId="10" xfId="0" applyFont="1" applyNumberFormat="1"/>
    <xf borderId="0" fillId="0" fontId="8" numFmtId="4" xfId="0" applyAlignment="1" applyFont="1" applyNumberFormat="1">
      <alignment horizontal="center"/>
    </xf>
    <xf borderId="0" fillId="2" fontId="13" numFmtId="49" xfId="0" applyAlignment="1" applyFont="1" applyNumberFormat="1">
      <alignment vertical="bottom"/>
    </xf>
    <xf borderId="0" fillId="2" fontId="13" numFmtId="4" xfId="0" applyAlignment="1" applyFont="1" applyNumberFormat="1">
      <alignment horizontal="right" vertical="bottom"/>
    </xf>
    <xf borderId="0" fillId="2" fontId="8" numFmtId="0" xfId="0" applyAlignment="1" applyFont="1">
      <alignment readingOrder="0" shrinkToFit="0" wrapText="1"/>
    </xf>
    <xf borderId="0" fillId="0" fontId="10" numFmtId="4" xfId="0" applyAlignment="1" applyFont="1" applyNumberFormat="1">
      <alignment horizontal="right" vertical="bottom"/>
    </xf>
    <xf borderId="0" fillId="3" fontId="13" numFmtId="4" xfId="0" applyAlignment="1" applyFont="1" applyNumberFormat="1">
      <alignment horizontal="right" vertical="bottom"/>
    </xf>
    <xf borderId="0" fillId="2" fontId="0" numFmtId="0" xfId="0" applyAlignment="1" applyFont="1">
      <alignment readingOrder="0" shrinkToFit="0" wrapText="1"/>
    </xf>
    <xf borderId="0" fillId="0" fontId="8" numFmtId="10" xfId="0" applyFont="1" applyNumberFormat="1"/>
    <xf borderId="0" fillId="0" fontId="4" numFmtId="164" xfId="0" applyFont="1" applyNumberFormat="1"/>
    <xf borderId="0" fillId="0" fontId="4" numFmtId="10" xfId="0" applyAlignment="1" applyFont="1" applyNumberFormat="1">
      <alignment readingOrder="0"/>
    </xf>
    <xf borderId="0" fillId="2" fontId="14" numFmtId="164" xfId="0" applyAlignment="1" applyFont="1" applyNumberFormat="1">
      <alignment horizontal="left" readingOrder="0" shrinkToFit="0" wrapText="0"/>
    </xf>
    <xf borderId="0" fillId="2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8" numFmtId="0" xfId="0" applyFont="1"/>
    <xf borderId="0" fillId="2" fontId="4" numFmtId="0" xfId="0" applyAlignment="1" applyFont="1">
      <alignment readingOrder="0" shrinkToFit="0" wrapText="1"/>
    </xf>
    <xf borderId="0" fillId="0" fontId="15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2" xfId="0" applyAlignment="1" applyFont="1" applyNumberFormat="1">
      <alignment horizontal="center" vertical="bottom"/>
    </xf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 shrinkToFit="0" wrapText="1"/>
    </xf>
    <xf borderId="0" fillId="0" fontId="17" numFmtId="0" xfId="0" applyFont="1"/>
    <xf borderId="0" fillId="0" fontId="17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18" numFmtId="0" xfId="0" applyAlignment="1" applyFont="1">
      <alignment readingOrder="0" shrinkToFit="0" wrapText="1"/>
    </xf>
    <xf borderId="0" fillId="2" fontId="4" numFmtId="0" xfId="0" applyFont="1"/>
    <xf borderId="0" fillId="0" fontId="9" numFmtId="4" xfId="0" applyAlignment="1" applyFont="1" applyNumberFormat="1">
      <alignment horizontal="center"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9" numFmtId="2" xfId="0" applyAlignment="1" applyFont="1" applyNumberFormat="1">
      <alignment horizontal="center" shrinkToFit="0" vertical="top" wrapText="1"/>
    </xf>
    <xf borderId="0" fillId="2" fontId="4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readingOrder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21" numFmtId="0" xfId="0" applyBorder="1" applyFont="1"/>
    <xf borderId="0" fillId="0" fontId="19" numFmtId="0" xfId="0" applyAlignment="1" applyFont="1">
      <alignment horizontal="right" readingOrder="0" shrinkToFit="0" vertical="bottom" wrapText="0"/>
    </xf>
    <xf borderId="2" fillId="0" fontId="19" numFmtId="0" xfId="0" applyAlignment="1" applyBorder="1" applyFont="1">
      <alignment readingOrder="0" shrinkToFit="0" vertical="bottom" wrapText="0"/>
    </xf>
    <xf borderId="2" fillId="0" fontId="19" numFmtId="0" xfId="0" applyAlignment="1" applyBorder="1" applyFont="1">
      <alignment horizontal="right" readingOrder="0"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2" fillId="0" fontId="19" numFmtId="0" xfId="0" applyAlignment="1" applyBorder="1" applyFont="1">
      <alignment shrinkToFit="0" vertical="bottom" wrapText="0"/>
    </xf>
    <xf borderId="0" fillId="0" fontId="22" numFmtId="0" xfId="0" applyAlignment="1" applyFont="1">
      <alignment readingOrder="0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'Covariance and correlation coef'!$C$1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'Covariance and correlation coef'!$B$2:$B$1000</c:f>
            </c:numRef>
          </c:xVal>
          <c:yVal>
            <c:numRef>
              <c:f>'Covariance and correlation coef'!$C$2:$C$1000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739546"/>
        <c:axId val="1747757401"/>
      </c:scatterChart>
      <c:valAx>
        <c:axId val="13567395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757401"/>
      </c:valAx>
      <c:valAx>
        <c:axId val="1747757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739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'Covariance and correlation coef'!$C$1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'Covariance and correlation coef'!$A$2:$A$1000</c:f>
            </c:strRef>
          </c:cat>
          <c:val>
            <c:numRef>
              <c:f>'Covariance and correlation coef'!$C$2:$C$1000</c:f>
              <c:numCache/>
            </c:numRef>
          </c:val>
          <c:smooth val="0"/>
        </c:ser>
        <c:ser>
          <c:idx val="1"/>
          <c:order val="1"/>
          <c:tx>
            <c:strRef>
              <c:f>'Covariance and correlation coef'!$B$1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'Covariance and correlation coef'!$A$2:$A$1000</c:f>
            </c:strRef>
          </c:cat>
          <c:val>
            <c:numRef>
              <c:f>'Covariance and correlation coef'!$B$2:$B$1000</c:f>
              <c:numCache/>
            </c:numRef>
          </c:val>
          <c:smooth val="0"/>
        </c:ser>
        <c:axId val="1294441427"/>
        <c:axId val="204379765"/>
      </c:lineChart>
      <c:catAx>
        <c:axId val="1294441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79765"/>
      </c:catAx>
      <c:valAx>
        <c:axId val="204379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441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2657475</xdr:colOff>
      <xdr:row>6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6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005930.KS/history/?period1=1739075644&amp;period2=1770611639&amp;frequency=1wk" TargetMode="External"/><Relationship Id="rId2" Type="http://schemas.openxmlformats.org/officeDocument/2006/relationships/hyperlink" Target="https://finance.yahoo.com/quote/AMZN/history/" TargetMode="External"/><Relationship Id="rId3" Type="http://schemas.openxmlformats.org/officeDocument/2006/relationships/hyperlink" Target="https://finance.yahoo.com/quote/005930.KS/" TargetMode="External"/><Relationship Id="rId4" Type="http://schemas.openxmlformats.org/officeDocument/2006/relationships/hyperlink" Target="https://finance.yahoo.com/quote/AMZN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005930.KS/" TargetMode="External"/><Relationship Id="rId2" Type="http://schemas.openxmlformats.org/officeDocument/2006/relationships/hyperlink" Target="https://finance.yahoo.com/quote/AMZN/" TargetMode="External"/><Relationship Id="rId3" Type="http://schemas.openxmlformats.org/officeDocument/2006/relationships/hyperlink" Target="https://finance.yahoo.com/quote/005930.KS/" TargetMode="External"/><Relationship Id="rId4" Type="http://schemas.openxmlformats.org/officeDocument/2006/relationships/hyperlink" Target="https://finance.yahoo.com/quote/AMZN/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005930.KS/" TargetMode="External"/><Relationship Id="rId2" Type="http://schemas.openxmlformats.org/officeDocument/2006/relationships/hyperlink" Target="https://finance.yahoo.com/quote/AMZN/" TargetMode="External"/><Relationship Id="rId3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168600.0</v>
      </c>
      <c r="C2" s="4">
        <v>168700.0</v>
      </c>
      <c r="D2" s="4">
        <v>165000.0</v>
      </c>
      <c r="E2" s="4">
        <v>166500.0</v>
      </c>
      <c r="F2" s="4">
        <v>166500.0</v>
      </c>
      <c r="G2" s="4">
        <v>1.8596925E7</v>
      </c>
    </row>
    <row r="3">
      <c r="A3" s="5" t="s">
        <v>8</v>
      </c>
      <c r="B3" s="6">
        <v>155700.0</v>
      </c>
      <c r="C3" s="6">
        <v>169400.0</v>
      </c>
      <c r="D3" s="6">
        <v>150400.0</v>
      </c>
      <c r="E3" s="6">
        <v>158600.0</v>
      </c>
      <c r="F3" s="6">
        <v>158600.0</v>
      </c>
      <c r="G3" s="6">
        <v>1.81014533E8</v>
      </c>
    </row>
    <row r="4">
      <c r="A4" s="3" t="s">
        <v>9</v>
      </c>
      <c r="B4" s="4">
        <v>154900.0</v>
      </c>
      <c r="C4" s="4">
        <v>166600.0</v>
      </c>
      <c r="D4" s="4">
        <v>149200.0</v>
      </c>
      <c r="E4" s="4">
        <v>160500.0</v>
      </c>
      <c r="F4" s="4">
        <v>160500.0</v>
      </c>
      <c r="G4" s="4">
        <v>1.5608628E8</v>
      </c>
    </row>
    <row r="5">
      <c r="A5" s="5" t="s">
        <v>10</v>
      </c>
      <c r="B5" s="6">
        <v>147200.0</v>
      </c>
      <c r="C5" s="6">
        <v>157000.0</v>
      </c>
      <c r="D5" s="6">
        <v>141800.0</v>
      </c>
      <c r="E5" s="6">
        <v>152100.0</v>
      </c>
      <c r="F5" s="6">
        <v>152100.0</v>
      </c>
      <c r="G5" s="6">
        <v>1.36006446E8</v>
      </c>
    </row>
    <row r="6">
      <c r="A6" s="3" t="s">
        <v>11</v>
      </c>
      <c r="B6" s="4">
        <v>141000.0</v>
      </c>
      <c r="C6" s="4">
        <v>149500.0</v>
      </c>
      <c r="D6" s="4">
        <v>136800.0</v>
      </c>
      <c r="E6" s="4">
        <v>148900.0</v>
      </c>
      <c r="F6" s="4">
        <v>148900.0</v>
      </c>
      <c r="G6" s="4">
        <v>1.21801572E8</v>
      </c>
      <c r="K6" s="7" t="s">
        <v>12</v>
      </c>
    </row>
    <row r="7">
      <c r="A7" s="5" t="s">
        <v>13</v>
      </c>
      <c r="B7" s="6">
        <v>134600.0</v>
      </c>
      <c r="C7" s="6">
        <v>144500.0</v>
      </c>
      <c r="D7" s="6">
        <v>132700.0</v>
      </c>
      <c r="E7" s="6">
        <v>139000.0</v>
      </c>
      <c r="F7" s="6">
        <v>139000.0</v>
      </c>
      <c r="G7" s="6">
        <v>2.05472025E8</v>
      </c>
    </row>
    <row r="8">
      <c r="A8" s="5" t="s">
        <v>14</v>
      </c>
      <c r="B8" s="6">
        <v>119400.0</v>
      </c>
      <c r="C8" s="6">
        <v>128500.0</v>
      </c>
      <c r="D8" s="6">
        <v>118200.0</v>
      </c>
      <c r="E8" s="6">
        <v>128500.0</v>
      </c>
      <c r="F8" s="6">
        <v>127878.37</v>
      </c>
      <c r="G8" s="6">
        <v>6.9885632E7</v>
      </c>
    </row>
    <row r="9">
      <c r="A9" s="3" t="s">
        <v>15</v>
      </c>
      <c r="B9" s="4">
        <v>109700.0</v>
      </c>
      <c r="C9" s="4">
        <v>117000.0</v>
      </c>
      <c r="D9" s="4">
        <v>109300.0</v>
      </c>
      <c r="E9" s="4">
        <v>117000.0</v>
      </c>
      <c r="F9" s="4">
        <v>116434.0</v>
      </c>
      <c r="G9" s="4">
        <v>9.1789471E7</v>
      </c>
    </row>
    <row r="10">
      <c r="A10" s="5" t="s">
        <v>16</v>
      </c>
      <c r="B10" s="6">
        <v>105300.0</v>
      </c>
      <c r="C10" s="6">
        <v>109700.0</v>
      </c>
      <c r="D10" s="6">
        <v>102700.0</v>
      </c>
      <c r="E10" s="6">
        <v>106300.0</v>
      </c>
      <c r="F10" s="6">
        <v>105785.76</v>
      </c>
      <c r="G10" s="6">
        <v>1.08107073E8</v>
      </c>
    </row>
    <row r="11">
      <c r="A11" s="3" t="s">
        <v>17</v>
      </c>
      <c r="B11" s="4">
        <v>109700.0</v>
      </c>
      <c r="C11" s="4">
        <v>110500.0</v>
      </c>
      <c r="D11" s="4">
        <v>106800.0</v>
      </c>
      <c r="E11" s="4">
        <v>108900.0</v>
      </c>
      <c r="F11" s="4">
        <v>108373.18</v>
      </c>
      <c r="G11" s="4">
        <v>7.8769475E7</v>
      </c>
    </row>
    <row r="12">
      <c r="A12" s="5" t="s">
        <v>18</v>
      </c>
      <c r="B12" s="6">
        <v>102000.0</v>
      </c>
      <c r="C12" s="6">
        <v>108400.0</v>
      </c>
      <c r="D12" s="6">
        <v>99900.0</v>
      </c>
      <c r="E12" s="6">
        <v>108400.0</v>
      </c>
      <c r="F12" s="6">
        <v>107875.6</v>
      </c>
      <c r="G12" s="6">
        <v>7.0939656E7</v>
      </c>
    </row>
    <row r="13">
      <c r="A13" s="3" t="s">
        <v>19</v>
      </c>
      <c r="B13" s="4">
        <v>97800.0</v>
      </c>
      <c r="C13" s="4">
        <v>105500.0</v>
      </c>
      <c r="D13" s="4">
        <v>96200.0</v>
      </c>
      <c r="E13" s="4">
        <v>100500.0</v>
      </c>
      <c r="F13" s="4">
        <v>100013.82</v>
      </c>
      <c r="G13" s="4">
        <v>9.9001482E7</v>
      </c>
    </row>
    <row r="14">
      <c r="A14" s="5" t="s">
        <v>20</v>
      </c>
      <c r="B14" s="6">
        <v>99800.0</v>
      </c>
      <c r="C14" s="6">
        <v>102900.0</v>
      </c>
      <c r="D14" s="6">
        <v>94500.0</v>
      </c>
      <c r="E14" s="6">
        <v>94800.0</v>
      </c>
      <c r="F14" s="6">
        <v>94341.39</v>
      </c>
      <c r="G14" s="6">
        <v>1.03334007E8</v>
      </c>
    </row>
    <row r="15">
      <c r="A15" s="3" t="s">
        <v>21</v>
      </c>
      <c r="B15" s="4">
        <v>98600.0</v>
      </c>
      <c r="C15" s="4">
        <v>106000.0</v>
      </c>
      <c r="D15" s="4">
        <v>97200.0</v>
      </c>
      <c r="E15" s="4">
        <v>97200.0</v>
      </c>
      <c r="F15" s="4">
        <v>96729.78</v>
      </c>
      <c r="G15" s="4">
        <v>1.13643449E8</v>
      </c>
    </row>
    <row r="16">
      <c r="A16" s="5" t="s">
        <v>22</v>
      </c>
      <c r="B16" s="6">
        <v>106900.0</v>
      </c>
      <c r="C16" s="6">
        <v>112400.0</v>
      </c>
      <c r="D16" s="6">
        <v>96300.0</v>
      </c>
      <c r="E16" s="6">
        <v>97900.0</v>
      </c>
      <c r="F16" s="6">
        <v>97426.4</v>
      </c>
      <c r="G16" s="6">
        <v>1.56967139E8</v>
      </c>
    </row>
    <row r="17">
      <c r="A17" s="3" t="s">
        <v>23</v>
      </c>
      <c r="B17" s="4">
        <v>101300.0</v>
      </c>
      <c r="C17" s="4">
        <v>108600.0</v>
      </c>
      <c r="D17" s="4">
        <v>99100.0</v>
      </c>
      <c r="E17" s="4">
        <v>107500.0</v>
      </c>
      <c r="F17" s="4">
        <v>106979.95</v>
      </c>
      <c r="G17" s="4">
        <v>1.52466621E8</v>
      </c>
    </row>
    <row r="18">
      <c r="A18" s="5" t="s">
        <v>24</v>
      </c>
      <c r="B18" s="6">
        <v>97900.0</v>
      </c>
      <c r="C18" s="6">
        <v>99900.0</v>
      </c>
      <c r="D18" s="6">
        <v>95500.0</v>
      </c>
      <c r="E18" s="6">
        <v>98800.0</v>
      </c>
      <c r="F18" s="6">
        <v>98322.04</v>
      </c>
      <c r="G18" s="6">
        <v>9.3621703E7</v>
      </c>
    </row>
    <row r="19">
      <c r="A19" s="3" t="s">
        <v>25</v>
      </c>
      <c r="B19" s="4">
        <v>91300.0</v>
      </c>
      <c r="C19" s="4">
        <v>99100.0</v>
      </c>
      <c r="D19" s="4">
        <v>90200.0</v>
      </c>
      <c r="E19" s="4">
        <v>97900.0</v>
      </c>
      <c r="F19" s="4">
        <v>97426.4</v>
      </c>
      <c r="G19" s="4">
        <v>1.31350523E8</v>
      </c>
    </row>
    <row r="20">
      <c r="A20" s="5" t="s">
        <v>26</v>
      </c>
      <c r="B20" s="6">
        <v>89750.0</v>
      </c>
      <c r="C20" s="6">
        <v>94500.0</v>
      </c>
      <c r="D20" s="6">
        <v>89750.0</v>
      </c>
      <c r="E20" s="6">
        <v>94400.0</v>
      </c>
      <c r="F20" s="6">
        <v>93943.33</v>
      </c>
      <c r="G20" s="6">
        <v>3.5269748E7</v>
      </c>
    </row>
    <row r="21">
      <c r="A21" s="5" t="s">
        <v>27</v>
      </c>
      <c r="B21" s="6">
        <v>83300.0</v>
      </c>
      <c r="C21" s="6">
        <v>90300.0</v>
      </c>
      <c r="D21" s="6">
        <v>83200.0</v>
      </c>
      <c r="E21" s="6">
        <v>89750.0</v>
      </c>
      <c r="F21" s="6">
        <v>88919.09</v>
      </c>
      <c r="G21" s="6">
        <v>1.01310544E8</v>
      </c>
    </row>
    <row r="22">
      <c r="A22" s="3" t="s">
        <v>28</v>
      </c>
      <c r="B22" s="4">
        <v>81500.0</v>
      </c>
      <c r="C22" s="4">
        <v>86200.0</v>
      </c>
      <c r="D22" s="4">
        <v>81100.0</v>
      </c>
      <c r="E22" s="4">
        <v>83300.0</v>
      </c>
      <c r="F22" s="4">
        <v>82528.81</v>
      </c>
      <c r="G22" s="4">
        <v>1.1317726E8</v>
      </c>
    </row>
    <row r="23">
      <c r="A23" s="5" t="s">
        <v>29</v>
      </c>
      <c r="B23" s="6">
        <v>77200.0</v>
      </c>
      <c r="C23" s="6">
        <v>80500.0</v>
      </c>
      <c r="D23" s="6">
        <v>75900.0</v>
      </c>
      <c r="E23" s="6">
        <v>80300.0</v>
      </c>
      <c r="F23" s="6">
        <v>79556.59</v>
      </c>
      <c r="G23" s="6">
        <v>9.4602422E7</v>
      </c>
    </row>
    <row r="24">
      <c r="A24" s="3" t="s">
        <v>30</v>
      </c>
      <c r="B24" s="4">
        <v>69800.0</v>
      </c>
      <c r="C24" s="4">
        <v>75600.0</v>
      </c>
      <c r="D24" s="4">
        <v>69600.0</v>
      </c>
      <c r="E24" s="4">
        <v>75400.0</v>
      </c>
      <c r="F24" s="4">
        <v>74701.95</v>
      </c>
      <c r="G24" s="4">
        <v>9.5075124E7</v>
      </c>
    </row>
    <row r="25">
      <c r="A25" s="5" t="s">
        <v>31</v>
      </c>
      <c r="B25" s="6">
        <v>68400.0</v>
      </c>
      <c r="C25" s="6">
        <v>70400.0</v>
      </c>
      <c r="D25" s="6">
        <v>67500.0</v>
      </c>
      <c r="E25" s="6">
        <v>69500.0</v>
      </c>
      <c r="F25" s="6">
        <v>68856.57</v>
      </c>
      <c r="G25" s="6">
        <v>5.6700518E7</v>
      </c>
    </row>
    <row r="26">
      <c r="A26" s="3" t="s">
        <v>32</v>
      </c>
      <c r="B26" s="4">
        <v>71700.0</v>
      </c>
      <c r="C26" s="4">
        <v>71800.0</v>
      </c>
      <c r="D26" s="4">
        <v>69600.0</v>
      </c>
      <c r="E26" s="4">
        <v>69700.0</v>
      </c>
      <c r="F26" s="4">
        <v>69054.73</v>
      </c>
      <c r="G26" s="4">
        <v>5.8841393E7</v>
      </c>
    </row>
    <row r="27">
      <c r="A27" s="5" t="s">
        <v>33</v>
      </c>
      <c r="B27" s="6">
        <v>71100.0</v>
      </c>
      <c r="C27" s="6">
        <v>71900.0</v>
      </c>
      <c r="D27" s="6">
        <v>69400.0</v>
      </c>
      <c r="E27" s="6">
        <v>71400.0</v>
      </c>
      <c r="F27" s="6">
        <v>70738.98</v>
      </c>
      <c r="G27" s="6">
        <v>6.9695454E7</v>
      </c>
    </row>
    <row r="28">
      <c r="A28" s="3" t="s">
        <v>34</v>
      </c>
      <c r="B28" s="4">
        <v>72000.0</v>
      </c>
      <c r="C28" s="4">
        <v>72400.0</v>
      </c>
      <c r="D28" s="4">
        <v>70800.0</v>
      </c>
      <c r="E28" s="4">
        <v>71600.0</v>
      </c>
      <c r="F28" s="4">
        <v>70937.13</v>
      </c>
      <c r="G28" s="4">
        <v>5.1403773E7</v>
      </c>
    </row>
    <row r="29">
      <c r="A29" s="5" t="s">
        <v>35</v>
      </c>
      <c r="B29" s="6">
        <v>69500.0</v>
      </c>
      <c r="C29" s="6">
        <v>72400.0</v>
      </c>
      <c r="D29" s="6">
        <v>68300.0</v>
      </c>
      <c r="E29" s="6">
        <v>71800.0</v>
      </c>
      <c r="F29" s="6">
        <v>71135.28</v>
      </c>
      <c r="G29" s="6">
        <v>7.8964731E7</v>
      </c>
    </row>
    <row r="30">
      <c r="A30" s="3" t="s">
        <v>36</v>
      </c>
      <c r="B30" s="4">
        <v>68200.0</v>
      </c>
      <c r="C30" s="4">
        <v>74000.0</v>
      </c>
      <c r="D30" s="4">
        <v>67200.0</v>
      </c>
      <c r="E30" s="4">
        <v>68900.0</v>
      </c>
      <c r="F30" s="4">
        <v>68262.13</v>
      </c>
      <c r="G30" s="4">
        <v>1.4889149E8</v>
      </c>
    </row>
    <row r="31">
      <c r="A31" s="5" t="s">
        <v>37</v>
      </c>
      <c r="B31" s="6">
        <v>67400.0</v>
      </c>
      <c r="C31" s="6">
        <v>68800.0</v>
      </c>
      <c r="D31" s="6">
        <v>64900.0</v>
      </c>
      <c r="E31" s="6">
        <v>65900.0</v>
      </c>
      <c r="F31" s="6">
        <v>65289.91</v>
      </c>
      <c r="G31" s="6">
        <v>7.4980315E7</v>
      </c>
    </row>
    <row r="32">
      <c r="A32" s="3" t="s">
        <v>38</v>
      </c>
      <c r="B32" s="4">
        <v>62300.0</v>
      </c>
      <c r="C32" s="4">
        <v>67800.0</v>
      </c>
      <c r="D32" s="4">
        <v>61800.0</v>
      </c>
      <c r="E32" s="4">
        <v>67100.0</v>
      </c>
      <c r="F32" s="4">
        <v>66478.8</v>
      </c>
      <c r="G32" s="4">
        <v>1.18448922E8</v>
      </c>
    </row>
    <row r="33">
      <c r="A33" s="5" t="s">
        <v>39</v>
      </c>
      <c r="B33" s="6">
        <v>62900.0</v>
      </c>
      <c r="C33" s="6">
        <v>63300.0</v>
      </c>
      <c r="D33" s="6">
        <v>60200.0</v>
      </c>
      <c r="E33" s="6">
        <v>62600.0</v>
      </c>
      <c r="F33" s="6">
        <v>62020.45</v>
      </c>
      <c r="G33" s="6">
        <v>8.882097E7</v>
      </c>
    </row>
    <row r="34">
      <c r="A34" s="3" t="s">
        <v>40</v>
      </c>
      <c r="B34" s="4">
        <v>61200.0</v>
      </c>
      <c r="C34" s="4">
        <v>64700.0</v>
      </c>
      <c r="D34" s="4">
        <v>59800.0</v>
      </c>
      <c r="E34" s="4">
        <v>63300.0</v>
      </c>
      <c r="F34" s="4">
        <v>62713.97</v>
      </c>
      <c r="G34" s="4">
        <v>1.01598834E8</v>
      </c>
    </row>
    <row r="35">
      <c r="A35" s="3" t="s">
        <v>41</v>
      </c>
      <c r="B35" s="4">
        <v>58400.0</v>
      </c>
      <c r="C35" s="4">
        <v>61600.0</v>
      </c>
      <c r="D35" s="4">
        <v>57600.0</v>
      </c>
      <c r="E35" s="4">
        <v>60800.0</v>
      </c>
      <c r="F35" s="4">
        <v>59869.89</v>
      </c>
      <c r="G35" s="4">
        <v>1.00965975E8</v>
      </c>
    </row>
    <row r="36">
      <c r="A36" s="5" t="s">
        <v>42</v>
      </c>
      <c r="B36" s="6">
        <v>58000.0</v>
      </c>
      <c r="C36" s="6">
        <v>60600.0</v>
      </c>
      <c r="D36" s="6">
        <v>56900.0</v>
      </c>
      <c r="E36" s="6">
        <v>59500.0</v>
      </c>
      <c r="F36" s="6">
        <v>58589.77</v>
      </c>
      <c r="G36" s="6">
        <v>1.03407109E8</v>
      </c>
    </row>
    <row r="37">
      <c r="A37" s="3" t="s">
        <v>43</v>
      </c>
      <c r="B37" s="4">
        <v>60400.0</v>
      </c>
      <c r="C37" s="4">
        <v>60400.0</v>
      </c>
      <c r="D37" s="4">
        <v>57700.0</v>
      </c>
      <c r="E37" s="4">
        <v>58300.0</v>
      </c>
      <c r="F37" s="4">
        <v>57408.13</v>
      </c>
      <c r="G37" s="4">
        <v>8.6987247E7</v>
      </c>
    </row>
    <row r="38">
      <c r="A38" s="5" t="s">
        <v>44</v>
      </c>
      <c r="B38" s="6">
        <v>56300.0</v>
      </c>
      <c r="C38" s="6">
        <v>59900.0</v>
      </c>
      <c r="D38" s="6">
        <v>56200.0</v>
      </c>
      <c r="E38" s="6">
        <v>59100.0</v>
      </c>
      <c r="F38" s="6">
        <v>58195.89</v>
      </c>
      <c r="G38" s="6">
        <v>5.5786525E7</v>
      </c>
    </row>
    <row r="39">
      <c r="A39" s="3" t="s">
        <v>45</v>
      </c>
      <c r="B39" s="4">
        <v>53900.0</v>
      </c>
      <c r="C39" s="4">
        <v>57200.0</v>
      </c>
      <c r="D39" s="4">
        <v>53700.0</v>
      </c>
      <c r="E39" s="4">
        <v>56200.0</v>
      </c>
      <c r="F39" s="4">
        <v>55340.26</v>
      </c>
      <c r="G39" s="4">
        <v>8.1013633E7</v>
      </c>
    </row>
    <row r="40">
      <c r="A40" s="5" t="s">
        <v>46</v>
      </c>
      <c r="B40" s="6">
        <v>56400.0</v>
      </c>
      <c r="C40" s="6">
        <v>56700.0</v>
      </c>
      <c r="D40" s="6">
        <v>54100.0</v>
      </c>
      <c r="E40" s="6">
        <v>54200.0</v>
      </c>
      <c r="F40" s="6">
        <v>53370.86</v>
      </c>
      <c r="G40" s="6">
        <v>5.3178256E7</v>
      </c>
    </row>
    <row r="41">
      <c r="A41" s="3" t="s">
        <v>47</v>
      </c>
      <c r="B41" s="4">
        <v>55200.0</v>
      </c>
      <c r="C41" s="4">
        <v>58600.0</v>
      </c>
      <c r="D41" s="4">
        <v>55000.0</v>
      </c>
      <c r="E41" s="4">
        <v>56800.0</v>
      </c>
      <c r="F41" s="4">
        <v>55931.08</v>
      </c>
      <c r="G41" s="4">
        <v>6.825068E7</v>
      </c>
    </row>
    <row r="42">
      <c r="A42" s="5" t="s">
        <v>48</v>
      </c>
      <c r="B42" s="6">
        <v>54300.0</v>
      </c>
      <c r="C42" s="6">
        <v>55500.0</v>
      </c>
      <c r="D42" s="6">
        <v>54300.0</v>
      </c>
      <c r="E42" s="6">
        <v>54800.0</v>
      </c>
      <c r="F42" s="6">
        <v>53961.68</v>
      </c>
      <c r="G42" s="6">
        <v>4.1271845E7</v>
      </c>
    </row>
    <row r="43">
      <c r="A43" s="3" t="s">
        <v>49</v>
      </c>
      <c r="B43" s="4">
        <v>55800.0</v>
      </c>
      <c r="C43" s="4">
        <v>56500.0</v>
      </c>
      <c r="D43" s="4">
        <v>54200.0</v>
      </c>
      <c r="E43" s="4">
        <v>54300.0</v>
      </c>
      <c r="F43" s="4">
        <v>53469.33</v>
      </c>
      <c r="G43" s="4">
        <v>5.5105429E7</v>
      </c>
    </row>
    <row r="44">
      <c r="A44" s="5" t="s">
        <v>50</v>
      </c>
      <c r="B44" s="6">
        <v>55200.0</v>
      </c>
      <c r="C44" s="6">
        <v>56400.0</v>
      </c>
      <c r="D44" s="6">
        <v>54700.0</v>
      </c>
      <c r="E44" s="6">
        <v>55700.0</v>
      </c>
      <c r="F44" s="6">
        <v>54847.91</v>
      </c>
      <c r="G44" s="6">
        <v>4.9386688E7</v>
      </c>
    </row>
    <row r="45">
      <c r="A45" s="3" t="s">
        <v>51</v>
      </c>
      <c r="B45" s="4">
        <v>56300.0</v>
      </c>
      <c r="C45" s="4">
        <v>57100.0</v>
      </c>
      <c r="D45" s="4">
        <v>54500.0</v>
      </c>
      <c r="E45" s="4">
        <v>55300.0</v>
      </c>
      <c r="F45" s="4">
        <v>54454.03</v>
      </c>
      <c r="G45" s="4">
        <v>5.3003689E7</v>
      </c>
    </row>
    <row r="46">
      <c r="A46" s="5" t="s">
        <v>52</v>
      </c>
      <c r="B46" s="6">
        <v>53300.0</v>
      </c>
      <c r="C46" s="6">
        <v>56700.0</v>
      </c>
      <c r="D46" s="6">
        <v>52900.0</v>
      </c>
      <c r="E46" s="6">
        <v>55200.0</v>
      </c>
      <c r="F46" s="6">
        <v>54355.56</v>
      </c>
      <c r="G46" s="6">
        <v>1.1498734E8</v>
      </c>
    </row>
    <row r="47">
      <c r="A47" s="3" t="s">
        <v>53</v>
      </c>
      <c r="B47" s="4">
        <v>59500.0</v>
      </c>
      <c r="C47" s="4">
        <v>59700.0</v>
      </c>
      <c r="D47" s="4">
        <v>55700.0</v>
      </c>
      <c r="E47" s="4">
        <v>56100.0</v>
      </c>
      <c r="F47" s="4">
        <v>55241.79</v>
      </c>
      <c r="G47" s="4">
        <v>8.8912712E7</v>
      </c>
    </row>
    <row r="48">
      <c r="A48" s="3" t="s">
        <v>54</v>
      </c>
      <c r="B48" s="4">
        <v>61200.0</v>
      </c>
      <c r="C48" s="4">
        <v>62000.0</v>
      </c>
      <c r="D48" s="4">
        <v>59500.0</v>
      </c>
      <c r="E48" s="4">
        <v>60200.0</v>
      </c>
      <c r="F48" s="4">
        <v>58928.96</v>
      </c>
      <c r="G48" s="4">
        <v>8.4451498E7</v>
      </c>
    </row>
    <row r="49">
      <c r="A49" s="5" t="s">
        <v>55</v>
      </c>
      <c r="B49" s="6">
        <v>55500.0</v>
      </c>
      <c r="C49" s="6">
        <v>61700.0</v>
      </c>
      <c r="D49" s="6">
        <v>55400.0</v>
      </c>
      <c r="E49" s="6">
        <v>61700.0</v>
      </c>
      <c r="F49" s="6">
        <v>60397.29</v>
      </c>
      <c r="G49" s="6">
        <v>1.6826399E8</v>
      </c>
    </row>
    <row r="50">
      <c r="A50" s="3" t="s">
        <v>56</v>
      </c>
      <c r="B50" s="4">
        <v>53500.0</v>
      </c>
      <c r="C50" s="4">
        <v>55900.0</v>
      </c>
      <c r="D50" s="4">
        <v>52500.0</v>
      </c>
      <c r="E50" s="4">
        <v>54700.0</v>
      </c>
      <c r="F50" s="4">
        <v>53545.08</v>
      </c>
      <c r="G50" s="4">
        <v>8.3613087E7</v>
      </c>
    </row>
    <row r="51">
      <c r="A51" s="5" t="s">
        <v>57</v>
      </c>
      <c r="B51" s="6">
        <v>53900.0</v>
      </c>
      <c r="C51" s="6">
        <v>55400.0</v>
      </c>
      <c r="D51" s="6">
        <v>53400.0</v>
      </c>
      <c r="E51" s="6">
        <v>53700.0</v>
      </c>
      <c r="F51" s="6">
        <v>52566.2</v>
      </c>
      <c r="G51" s="6">
        <v>6.1665843E7</v>
      </c>
    </row>
    <row r="52">
      <c r="A52" s="3" t="s">
        <v>58</v>
      </c>
      <c r="B52" s="4">
        <v>57300.0</v>
      </c>
      <c r="C52" s="4">
        <v>57800.0</v>
      </c>
      <c r="D52" s="4">
        <v>54500.0</v>
      </c>
      <c r="E52" s="4">
        <v>54500.0</v>
      </c>
      <c r="F52" s="4">
        <v>53349.31</v>
      </c>
      <c r="G52" s="4">
        <v>8.9892797E7</v>
      </c>
    </row>
    <row r="53">
      <c r="A53" s="5" t="s">
        <v>59</v>
      </c>
      <c r="B53" s="6">
        <v>56100.0</v>
      </c>
      <c r="C53" s="6">
        <v>59100.0</v>
      </c>
      <c r="D53" s="6">
        <v>55700.0</v>
      </c>
      <c r="E53" s="6">
        <v>58200.0</v>
      </c>
      <c r="F53" s="6">
        <v>56971.18</v>
      </c>
      <c r="G53" s="6">
        <v>1.03229672E8</v>
      </c>
    </row>
    <row r="54">
      <c r="A54" s="3" t="s">
        <v>60</v>
      </c>
      <c r="B54" s="4">
        <v>53000.0</v>
      </c>
      <c r="C54" s="4">
        <v>57300.0</v>
      </c>
      <c r="D54" s="4">
        <v>52900.0</v>
      </c>
      <c r="E54" s="4">
        <v>56000.0</v>
      </c>
      <c r="F54" s="4">
        <v>54817.64</v>
      </c>
      <c r="G54" s="4">
        <v>1.25030539E8</v>
      </c>
    </row>
    <row r="55">
      <c r="A55" s="8"/>
      <c r="B55" s="9"/>
      <c r="C55" s="9"/>
      <c r="D55" s="9"/>
      <c r="E55" s="9"/>
      <c r="F55" s="9"/>
      <c r="G55" s="9"/>
    </row>
    <row r="56">
      <c r="A56" s="8"/>
      <c r="B56" s="9"/>
      <c r="C56" s="9"/>
      <c r="D56" s="9"/>
      <c r="E56" s="9"/>
      <c r="F56" s="9"/>
      <c r="G56" s="9"/>
    </row>
    <row r="57">
      <c r="A57" s="8"/>
      <c r="B57" s="9"/>
      <c r="C57" s="9"/>
      <c r="D57" s="9"/>
      <c r="E57" s="9"/>
      <c r="F57" s="9"/>
      <c r="G57" s="9"/>
    </row>
    <row r="58">
      <c r="A58" s="8"/>
      <c r="B58" s="9"/>
      <c r="C58" s="9"/>
      <c r="D58" s="9"/>
      <c r="E58" s="9"/>
      <c r="F58" s="9"/>
      <c r="G58" s="9"/>
    </row>
    <row r="59">
      <c r="A59" s="8"/>
      <c r="B59" s="9"/>
      <c r="C59" s="9"/>
      <c r="D59" s="9"/>
      <c r="E59" s="9"/>
      <c r="F59" s="9"/>
      <c r="G59" s="9"/>
    </row>
    <row r="60">
      <c r="A60" s="8"/>
      <c r="B60" s="9"/>
      <c r="C60" s="9"/>
      <c r="D60" s="9"/>
      <c r="E60" s="9"/>
      <c r="F60" s="9"/>
      <c r="G60" s="9"/>
    </row>
    <row r="61">
      <c r="A61" s="8"/>
      <c r="B61" s="9"/>
      <c r="C61" s="9"/>
      <c r="D61" s="9"/>
      <c r="E61" s="9"/>
      <c r="F61" s="9"/>
      <c r="G61" s="9"/>
    </row>
    <row r="62">
      <c r="A62" s="8"/>
      <c r="B62" s="9"/>
      <c r="C62" s="9"/>
      <c r="D62" s="9"/>
      <c r="E62" s="9"/>
      <c r="F62" s="9"/>
      <c r="G62" s="9"/>
    </row>
    <row r="63">
      <c r="A63" s="8"/>
      <c r="B63" s="9"/>
      <c r="C63" s="9"/>
      <c r="D63" s="9"/>
      <c r="E63" s="9"/>
      <c r="F63" s="9"/>
      <c r="G63" s="9"/>
    </row>
    <row r="64">
      <c r="A64" s="8"/>
      <c r="B64" s="9"/>
      <c r="C64" s="9"/>
      <c r="D64" s="9"/>
      <c r="E64" s="9"/>
      <c r="F64" s="9"/>
      <c r="G64" s="9"/>
    </row>
    <row r="65">
      <c r="A65" s="8"/>
      <c r="B65" s="9"/>
      <c r="C65" s="9"/>
      <c r="D65" s="9"/>
      <c r="E65" s="9"/>
      <c r="F65" s="9"/>
      <c r="G65" s="9"/>
    </row>
    <row r="66">
      <c r="A66" s="8"/>
      <c r="B66" s="9"/>
      <c r="C66" s="9"/>
      <c r="D66" s="9"/>
      <c r="E66" s="9"/>
      <c r="F66" s="9"/>
      <c r="G66" s="9"/>
    </row>
    <row r="67">
      <c r="A67" s="8"/>
      <c r="B67" s="9"/>
      <c r="C67" s="9"/>
      <c r="D67" s="9"/>
      <c r="E67" s="9"/>
      <c r="F67" s="9"/>
      <c r="G67" s="9"/>
    </row>
    <row r="68">
      <c r="A68" s="8"/>
      <c r="B68" s="9"/>
      <c r="C68" s="9"/>
      <c r="D68" s="9"/>
      <c r="E68" s="9"/>
      <c r="F68" s="9"/>
      <c r="G68" s="9"/>
    </row>
    <row r="69">
      <c r="A69" s="8"/>
      <c r="B69" s="9"/>
      <c r="C69" s="9"/>
      <c r="D69" s="9"/>
      <c r="E69" s="9"/>
      <c r="F69" s="9"/>
      <c r="G69" s="9"/>
    </row>
    <row r="70">
      <c r="A70" s="8"/>
      <c r="B70" s="9"/>
      <c r="C70" s="9"/>
      <c r="D70" s="9"/>
      <c r="E70" s="9"/>
      <c r="F70" s="9"/>
      <c r="G70" s="9"/>
    </row>
    <row r="71">
      <c r="A71" s="8"/>
      <c r="B71" s="9"/>
      <c r="C71" s="9"/>
      <c r="D71" s="9"/>
      <c r="E71" s="9"/>
      <c r="F71" s="9"/>
      <c r="G71" s="9"/>
    </row>
    <row r="72">
      <c r="A72" s="8"/>
      <c r="B72" s="9"/>
      <c r="C72" s="9"/>
      <c r="D72" s="9"/>
      <c r="E72" s="9"/>
      <c r="F72" s="9"/>
      <c r="G72" s="9"/>
    </row>
    <row r="73">
      <c r="A73" s="8"/>
      <c r="B73" s="9"/>
      <c r="C73" s="9"/>
      <c r="D73" s="9"/>
      <c r="E73" s="9"/>
      <c r="F73" s="9"/>
      <c r="G73" s="9"/>
    </row>
    <row r="74">
      <c r="A74" s="8"/>
      <c r="B74" s="9"/>
      <c r="C74" s="9"/>
      <c r="D74" s="9"/>
      <c r="E74" s="9"/>
      <c r="F74" s="9"/>
      <c r="G74" s="9"/>
    </row>
    <row r="75">
      <c r="A75" s="8"/>
      <c r="B75" s="9"/>
      <c r="C75" s="9"/>
      <c r="D75" s="9"/>
      <c r="E75" s="9"/>
      <c r="F75" s="9"/>
      <c r="G75" s="9"/>
    </row>
    <row r="76">
      <c r="A76" s="8"/>
      <c r="B76" s="9"/>
      <c r="C76" s="9"/>
      <c r="D76" s="9"/>
      <c r="E76" s="9"/>
      <c r="F76" s="9"/>
      <c r="G76" s="9"/>
    </row>
    <row r="77">
      <c r="A77" s="8"/>
      <c r="B77" s="9"/>
      <c r="C77" s="9"/>
      <c r="D77" s="9"/>
      <c r="E77" s="9"/>
      <c r="F77" s="9"/>
      <c r="G77" s="9"/>
    </row>
    <row r="78">
      <c r="A78" s="8"/>
      <c r="B78" s="9"/>
      <c r="C78" s="9"/>
      <c r="D78" s="9"/>
      <c r="E78" s="9"/>
      <c r="F78" s="9"/>
      <c r="G78" s="9"/>
    </row>
    <row r="79">
      <c r="A79" s="8"/>
      <c r="B79" s="9"/>
      <c r="C79" s="9"/>
      <c r="D79" s="9"/>
      <c r="E79" s="9"/>
      <c r="F79" s="9"/>
      <c r="G79" s="9"/>
    </row>
    <row r="80">
      <c r="A80" s="8"/>
      <c r="B80" s="9"/>
      <c r="C80" s="9"/>
      <c r="D80" s="9"/>
      <c r="E80" s="9"/>
      <c r="F80" s="9"/>
      <c r="G80" s="9"/>
    </row>
    <row r="81">
      <c r="A81" s="8"/>
      <c r="B81" s="9"/>
      <c r="C81" s="9"/>
      <c r="D81" s="9"/>
      <c r="E81" s="9"/>
      <c r="F81" s="9"/>
      <c r="G81" s="9"/>
    </row>
    <row r="82">
      <c r="A82" s="8"/>
      <c r="B82" s="9"/>
      <c r="C82" s="9"/>
      <c r="D82" s="9"/>
      <c r="E82" s="9"/>
      <c r="F82" s="9"/>
      <c r="G82" s="9"/>
    </row>
    <row r="83">
      <c r="A83" s="8"/>
      <c r="B83" s="9"/>
      <c r="C83" s="9"/>
      <c r="D83" s="9"/>
      <c r="E83" s="9"/>
      <c r="F83" s="9"/>
      <c r="G83" s="9"/>
    </row>
    <row r="84">
      <c r="A84" s="8"/>
      <c r="B84" s="9"/>
      <c r="C84" s="9"/>
      <c r="D84" s="9"/>
      <c r="E84" s="9"/>
      <c r="F84" s="9"/>
      <c r="G84" s="9"/>
    </row>
    <row r="85">
      <c r="A85" s="8"/>
      <c r="B85" s="9"/>
      <c r="C85" s="9"/>
      <c r="D85" s="9"/>
      <c r="E85" s="9"/>
      <c r="F85" s="9"/>
      <c r="G85" s="9"/>
    </row>
    <row r="86">
      <c r="A86" s="8"/>
      <c r="B86" s="9"/>
      <c r="C86" s="9"/>
      <c r="D86" s="9"/>
      <c r="E86" s="9"/>
      <c r="F86" s="9"/>
      <c r="G86" s="9"/>
    </row>
    <row r="87">
      <c r="A87" s="8"/>
      <c r="B87" s="9"/>
      <c r="C87" s="9"/>
      <c r="D87" s="9"/>
      <c r="E87" s="9"/>
      <c r="F87" s="9"/>
      <c r="G87" s="9"/>
    </row>
    <row r="88">
      <c r="A88" s="8"/>
      <c r="B88" s="9"/>
      <c r="C88" s="9"/>
      <c r="D88" s="9"/>
      <c r="E88" s="9"/>
      <c r="F88" s="9"/>
      <c r="G88" s="9"/>
    </row>
    <row r="89">
      <c r="A89" s="8"/>
      <c r="B89" s="9"/>
      <c r="C89" s="9"/>
      <c r="D89" s="9"/>
      <c r="E89" s="9"/>
      <c r="F89" s="9"/>
      <c r="G89" s="9"/>
    </row>
    <row r="90">
      <c r="A90" s="8"/>
      <c r="B90" s="9"/>
      <c r="C90" s="9"/>
      <c r="D90" s="9"/>
      <c r="E90" s="9"/>
      <c r="F90" s="9"/>
      <c r="G90" s="9"/>
    </row>
    <row r="91">
      <c r="A91" s="8"/>
      <c r="B91" s="9"/>
      <c r="C91" s="9"/>
      <c r="D91" s="9"/>
      <c r="E91" s="9"/>
      <c r="F91" s="9"/>
      <c r="G91" s="9"/>
    </row>
    <row r="92">
      <c r="A92" s="8"/>
      <c r="B92" s="9"/>
      <c r="C92" s="9"/>
      <c r="D92" s="9"/>
      <c r="E92" s="9"/>
      <c r="F92" s="9"/>
      <c r="G92" s="9"/>
    </row>
    <row r="93">
      <c r="A93" s="8"/>
      <c r="B93" s="9"/>
      <c r="C93" s="9"/>
      <c r="D93" s="9"/>
      <c r="E93" s="9"/>
      <c r="F93" s="9"/>
      <c r="G93" s="9"/>
    </row>
    <row r="94">
      <c r="A94" s="8"/>
      <c r="B94" s="9"/>
      <c r="C94" s="9"/>
      <c r="D94" s="9"/>
      <c r="E94" s="9"/>
      <c r="F94" s="9"/>
      <c r="G94" s="9"/>
    </row>
    <row r="95">
      <c r="A95" s="8"/>
      <c r="B95" s="9"/>
      <c r="C95" s="9"/>
      <c r="D95" s="9"/>
      <c r="E95" s="9"/>
      <c r="F95" s="9"/>
      <c r="G95" s="9"/>
    </row>
    <row r="96">
      <c r="A96" s="8"/>
      <c r="B96" s="9"/>
      <c r="C96" s="9"/>
      <c r="D96" s="9"/>
      <c r="E96" s="9"/>
      <c r="F96" s="9"/>
      <c r="G96" s="9"/>
    </row>
    <row r="97">
      <c r="A97" s="8"/>
      <c r="B97" s="9"/>
      <c r="C97" s="9"/>
      <c r="D97" s="9"/>
      <c r="E97" s="9"/>
      <c r="F97" s="9"/>
      <c r="G97" s="9"/>
    </row>
    <row r="98">
      <c r="A98" s="8"/>
      <c r="B98" s="9"/>
      <c r="C98" s="9"/>
      <c r="D98" s="9"/>
      <c r="E98" s="9"/>
      <c r="F98" s="9"/>
      <c r="G98" s="9"/>
    </row>
    <row r="99">
      <c r="A99" s="8"/>
      <c r="B99" s="9"/>
      <c r="C99" s="9"/>
      <c r="D99" s="9"/>
      <c r="E99" s="9"/>
      <c r="F99" s="9"/>
      <c r="G99" s="9"/>
    </row>
    <row r="100">
      <c r="A100" s="8"/>
      <c r="B100" s="9"/>
      <c r="C100" s="9"/>
      <c r="D100" s="9"/>
      <c r="E100" s="9"/>
      <c r="F100" s="9"/>
      <c r="G100" s="9"/>
    </row>
    <row r="101">
      <c r="A101" s="8"/>
      <c r="B101" s="9"/>
      <c r="C101" s="9"/>
      <c r="D101" s="9"/>
      <c r="E101" s="9"/>
      <c r="F101" s="9"/>
      <c r="G101" s="9"/>
    </row>
    <row r="102">
      <c r="A102" s="8"/>
      <c r="B102" s="9"/>
      <c r="C102" s="9"/>
      <c r="D102" s="9"/>
      <c r="E102" s="9"/>
      <c r="F102" s="9"/>
      <c r="G102" s="9"/>
    </row>
    <row r="103">
      <c r="A103" s="8"/>
      <c r="B103" s="9"/>
      <c r="C103" s="9"/>
      <c r="D103" s="9"/>
      <c r="E103" s="9"/>
      <c r="F103" s="9"/>
      <c r="G103" s="9"/>
    </row>
    <row r="104">
      <c r="A104" s="8"/>
      <c r="B104" s="9"/>
      <c r="C104" s="9"/>
      <c r="D104" s="9"/>
      <c r="E104" s="9"/>
      <c r="F104" s="9"/>
      <c r="G104" s="9"/>
    </row>
    <row r="105">
      <c r="A105" s="8"/>
      <c r="B105" s="9"/>
      <c r="C105" s="9"/>
      <c r="D105" s="9"/>
      <c r="E105" s="9"/>
      <c r="F105" s="9"/>
      <c r="G105" s="9"/>
    </row>
    <row r="106">
      <c r="A106" s="8"/>
      <c r="B106" s="9"/>
      <c r="C106" s="9"/>
      <c r="D106" s="9"/>
      <c r="E106" s="9"/>
      <c r="F106" s="9"/>
      <c r="G106" s="9"/>
    </row>
    <row r="107">
      <c r="A107" s="8"/>
      <c r="B107" s="9"/>
      <c r="C107" s="9"/>
      <c r="D107" s="9"/>
      <c r="E107" s="9"/>
      <c r="F107" s="9"/>
      <c r="G107" s="9"/>
    </row>
    <row r="108">
      <c r="A108" s="8"/>
      <c r="B108" s="9"/>
      <c r="C108" s="9"/>
      <c r="D108" s="9"/>
      <c r="E108" s="9"/>
      <c r="F108" s="9"/>
      <c r="G108" s="9"/>
    </row>
    <row r="109">
      <c r="A109" s="8"/>
      <c r="B109" s="9"/>
      <c r="C109" s="9"/>
      <c r="D109" s="9"/>
      <c r="E109" s="9"/>
      <c r="F109" s="9"/>
      <c r="G109" s="9"/>
    </row>
    <row r="110">
      <c r="A110" s="8"/>
      <c r="B110" s="9"/>
      <c r="C110" s="9"/>
      <c r="D110" s="9"/>
      <c r="E110" s="9"/>
      <c r="F110" s="9"/>
      <c r="G110" s="9"/>
    </row>
    <row r="111">
      <c r="A111" s="8"/>
      <c r="B111" s="9"/>
      <c r="C111" s="9"/>
      <c r="D111" s="9"/>
      <c r="E111" s="9"/>
      <c r="F111" s="9"/>
      <c r="G111" s="9"/>
    </row>
    <row r="112">
      <c r="A112" s="8"/>
      <c r="B112" s="9"/>
      <c r="C112" s="9"/>
      <c r="D112" s="9"/>
      <c r="E112" s="9"/>
      <c r="F112" s="9"/>
      <c r="G112" s="9"/>
    </row>
    <row r="113">
      <c r="A113" s="8"/>
      <c r="B113" s="9"/>
      <c r="C113" s="9"/>
      <c r="D113" s="9"/>
      <c r="E113" s="9"/>
      <c r="F113" s="9"/>
      <c r="G113" s="9"/>
    </row>
    <row r="114">
      <c r="A114" s="8"/>
      <c r="B114" s="9"/>
      <c r="C114" s="9"/>
      <c r="D114" s="9"/>
      <c r="E114" s="9"/>
      <c r="F114" s="9"/>
      <c r="G114" s="9"/>
    </row>
    <row r="115">
      <c r="A115" s="8"/>
      <c r="B115" s="9"/>
      <c r="C115" s="9"/>
      <c r="D115" s="9"/>
      <c r="E115" s="9"/>
      <c r="F115" s="9"/>
      <c r="G115" s="9"/>
    </row>
    <row r="116">
      <c r="A116" s="8"/>
      <c r="B116" s="9"/>
      <c r="C116" s="9"/>
      <c r="D116" s="9"/>
      <c r="E116" s="9"/>
      <c r="F116" s="9"/>
      <c r="G116" s="9"/>
    </row>
    <row r="117">
      <c r="A117" s="8"/>
      <c r="B117" s="9"/>
      <c r="C117" s="9"/>
      <c r="D117" s="9"/>
      <c r="E117" s="9"/>
      <c r="F117" s="9"/>
      <c r="G117" s="9"/>
    </row>
    <row r="118">
      <c r="A118" s="8"/>
      <c r="B118" s="9"/>
      <c r="C118" s="9"/>
      <c r="D118" s="9"/>
      <c r="E118" s="9"/>
      <c r="F118" s="9"/>
      <c r="G118" s="9"/>
    </row>
    <row r="119">
      <c r="A119" s="8"/>
      <c r="B119" s="9"/>
      <c r="C119" s="9"/>
      <c r="D119" s="9"/>
      <c r="E119" s="9"/>
      <c r="F119" s="9"/>
      <c r="G119" s="9"/>
    </row>
    <row r="120">
      <c r="A120" s="8"/>
      <c r="B120" s="9"/>
      <c r="C120" s="9"/>
      <c r="D120" s="9"/>
      <c r="E120" s="9"/>
      <c r="F120" s="9"/>
      <c r="G120" s="9"/>
    </row>
    <row r="121">
      <c r="A121" s="8"/>
      <c r="B121" s="9"/>
      <c r="C121" s="9"/>
      <c r="D121" s="9"/>
      <c r="E121" s="9"/>
      <c r="F121" s="9"/>
      <c r="G121" s="9"/>
    </row>
    <row r="122">
      <c r="A122" s="8"/>
      <c r="B122" s="9"/>
      <c r="C122" s="9"/>
      <c r="D122" s="9"/>
      <c r="E122" s="9"/>
      <c r="F122" s="9"/>
      <c r="G122" s="9"/>
    </row>
    <row r="123">
      <c r="A123" s="8"/>
      <c r="B123" s="9"/>
      <c r="C123" s="9"/>
      <c r="D123" s="9"/>
      <c r="E123" s="9"/>
      <c r="F123" s="9"/>
      <c r="G123" s="9"/>
    </row>
    <row r="124">
      <c r="A124" s="8"/>
      <c r="B124" s="9"/>
      <c r="C124" s="9"/>
      <c r="D124" s="9"/>
      <c r="E124" s="9"/>
      <c r="F124" s="9"/>
      <c r="G124" s="9"/>
    </row>
    <row r="125">
      <c r="A125" s="8"/>
      <c r="B125" s="9"/>
      <c r="C125" s="9"/>
      <c r="D125" s="9"/>
      <c r="E125" s="9"/>
      <c r="F125" s="9"/>
      <c r="G125" s="9"/>
    </row>
    <row r="126">
      <c r="A126" s="8"/>
      <c r="B126" s="9"/>
      <c r="C126" s="9"/>
      <c r="D126" s="9"/>
      <c r="E126" s="9"/>
      <c r="F126" s="9"/>
      <c r="G126" s="9"/>
    </row>
    <row r="127">
      <c r="A127" s="8"/>
      <c r="B127" s="9"/>
      <c r="C127" s="9"/>
      <c r="D127" s="9"/>
      <c r="E127" s="9"/>
      <c r="F127" s="9"/>
      <c r="G127" s="9"/>
    </row>
    <row r="128">
      <c r="A128" s="8"/>
      <c r="B128" s="9"/>
      <c r="C128" s="9"/>
      <c r="D128" s="9"/>
      <c r="E128" s="9"/>
      <c r="F128" s="9"/>
      <c r="G128" s="9"/>
    </row>
    <row r="129">
      <c r="A129" s="8"/>
      <c r="B129" s="9"/>
      <c r="C129" s="9"/>
      <c r="D129" s="9"/>
      <c r="E129" s="9"/>
      <c r="F129" s="9"/>
      <c r="G129" s="9"/>
    </row>
    <row r="130">
      <c r="A130" s="8"/>
      <c r="B130" s="9"/>
      <c r="C130" s="9"/>
      <c r="D130" s="9"/>
      <c r="E130" s="9"/>
      <c r="F130" s="9"/>
      <c r="G130" s="9"/>
    </row>
    <row r="131">
      <c r="A131" s="8"/>
      <c r="B131" s="9"/>
      <c r="C131" s="9"/>
      <c r="D131" s="9"/>
      <c r="E131" s="9"/>
      <c r="F131" s="9"/>
      <c r="G131" s="9"/>
    </row>
    <row r="132">
      <c r="A132" s="8"/>
      <c r="B132" s="9"/>
      <c r="C132" s="9"/>
      <c r="D132" s="9"/>
      <c r="E132" s="9"/>
      <c r="F132" s="9"/>
      <c r="G132" s="9"/>
    </row>
    <row r="133">
      <c r="A133" s="8"/>
      <c r="B133" s="9"/>
      <c r="C133" s="9"/>
      <c r="D133" s="9"/>
      <c r="E133" s="9"/>
      <c r="F133" s="9"/>
      <c r="G133" s="9"/>
    </row>
    <row r="134">
      <c r="A134" s="8"/>
      <c r="B134" s="9"/>
      <c r="C134" s="9"/>
      <c r="D134" s="9"/>
      <c r="E134" s="9"/>
      <c r="F134" s="9"/>
      <c r="G134" s="9"/>
    </row>
    <row r="135">
      <c r="A135" s="8"/>
      <c r="B135" s="9"/>
      <c r="C135" s="9"/>
      <c r="D135" s="9"/>
      <c r="E135" s="9"/>
      <c r="F135" s="9"/>
      <c r="G135" s="9"/>
    </row>
    <row r="136">
      <c r="A136" s="8"/>
      <c r="B136" s="9"/>
      <c r="C136" s="9"/>
      <c r="D136" s="9"/>
      <c r="E136" s="9"/>
      <c r="F136" s="9"/>
      <c r="G136" s="9"/>
    </row>
    <row r="137">
      <c r="A137" s="8"/>
      <c r="B137" s="9"/>
      <c r="C137" s="9"/>
      <c r="D137" s="9"/>
      <c r="E137" s="9"/>
      <c r="F137" s="9"/>
      <c r="G137" s="9"/>
    </row>
    <row r="138">
      <c r="A138" s="8"/>
      <c r="B138" s="9"/>
      <c r="C138" s="9"/>
      <c r="D138" s="9"/>
      <c r="E138" s="9"/>
      <c r="F138" s="9"/>
      <c r="G138" s="9"/>
    </row>
    <row r="139">
      <c r="A139" s="8"/>
      <c r="B139" s="9"/>
      <c r="C139" s="9"/>
      <c r="D139" s="9"/>
      <c r="E139" s="9"/>
      <c r="F139" s="9"/>
      <c r="G139" s="9"/>
    </row>
    <row r="140">
      <c r="A140" s="8"/>
      <c r="B140" s="9"/>
      <c r="C140" s="9"/>
      <c r="D140" s="9"/>
      <c r="E140" s="9"/>
      <c r="F140" s="9"/>
      <c r="G140" s="9"/>
    </row>
    <row r="141">
      <c r="A141" s="8"/>
      <c r="B141" s="9"/>
      <c r="C141" s="9"/>
      <c r="D141" s="9"/>
      <c r="E141" s="9"/>
      <c r="F141" s="9"/>
      <c r="G141" s="9"/>
    </row>
    <row r="142">
      <c r="A142" s="8"/>
      <c r="B142" s="9"/>
      <c r="C142" s="9"/>
      <c r="D142" s="9"/>
      <c r="E142" s="9"/>
      <c r="F142" s="9"/>
      <c r="G142" s="9"/>
    </row>
    <row r="143">
      <c r="A143" s="8"/>
      <c r="B143" s="9"/>
      <c r="C143" s="9"/>
      <c r="D143" s="9"/>
      <c r="E143" s="9"/>
      <c r="F143" s="9"/>
      <c r="G143" s="9"/>
    </row>
    <row r="144">
      <c r="A144" s="8"/>
      <c r="B144" s="9"/>
      <c r="C144" s="9"/>
      <c r="D144" s="9"/>
      <c r="E144" s="9"/>
      <c r="F144" s="9"/>
      <c r="G144" s="9"/>
    </row>
    <row r="145">
      <c r="A145" s="8"/>
      <c r="B145" s="9"/>
      <c r="C145" s="9"/>
      <c r="D145" s="9"/>
      <c r="E145" s="9"/>
      <c r="F145" s="9"/>
      <c r="G145" s="9"/>
    </row>
    <row r="146">
      <c r="A146" s="8"/>
      <c r="B146" s="9"/>
      <c r="C146" s="9"/>
      <c r="D146" s="9"/>
      <c r="E146" s="9"/>
      <c r="F146" s="9"/>
      <c r="G146" s="9"/>
    </row>
    <row r="147">
      <c r="A147" s="8"/>
      <c r="B147" s="9"/>
      <c r="C147" s="9"/>
      <c r="D147" s="9"/>
      <c r="E147" s="9"/>
      <c r="F147" s="9"/>
      <c r="G147" s="9"/>
    </row>
    <row r="148">
      <c r="A148" s="8"/>
      <c r="B148" s="9"/>
      <c r="C148" s="9"/>
      <c r="D148" s="9"/>
      <c r="E148" s="9"/>
      <c r="F148" s="9"/>
      <c r="G148" s="9"/>
    </row>
    <row r="149">
      <c r="A149" s="8"/>
      <c r="B149" s="9"/>
      <c r="C149" s="9"/>
      <c r="D149" s="9"/>
      <c r="E149" s="9"/>
      <c r="F149" s="9"/>
      <c r="G149" s="9"/>
    </row>
    <row r="150">
      <c r="A150" s="8"/>
      <c r="B150" s="9"/>
      <c r="C150" s="9"/>
      <c r="D150" s="9"/>
      <c r="E150" s="9"/>
      <c r="F150" s="9"/>
      <c r="G150" s="9"/>
    </row>
    <row r="151">
      <c r="A151" s="8"/>
      <c r="B151" s="9"/>
      <c r="C151" s="9"/>
      <c r="D151" s="9"/>
      <c r="E151" s="9"/>
      <c r="F151" s="9"/>
      <c r="G151" s="9"/>
    </row>
    <row r="152">
      <c r="A152" s="8"/>
      <c r="B152" s="9"/>
      <c r="C152" s="9"/>
      <c r="D152" s="9"/>
      <c r="E152" s="9"/>
      <c r="F152" s="9"/>
      <c r="G152" s="9"/>
    </row>
    <row r="153">
      <c r="A153" s="8"/>
      <c r="B153" s="9"/>
      <c r="C153" s="9"/>
      <c r="D153" s="9"/>
      <c r="E153" s="9"/>
      <c r="F153" s="9"/>
      <c r="G153" s="9"/>
    </row>
    <row r="154">
      <c r="A154" s="8"/>
      <c r="B154" s="9"/>
      <c r="C154" s="9"/>
      <c r="D154" s="9"/>
      <c r="E154" s="9"/>
      <c r="F154" s="9"/>
      <c r="G154" s="9"/>
    </row>
    <row r="155">
      <c r="A155" s="8"/>
      <c r="B155" s="9"/>
      <c r="C155" s="9"/>
      <c r="D155" s="9"/>
      <c r="E155" s="9"/>
      <c r="F155" s="9"/>
      <c r="G155" s="9"/>
    </row>
    <row r="156">
      <c r="A156" s="8"/>
      <c r="B156" s="9"/>
      <c r="C156" s="9"/>
      <c r="D156" s="9"/>
      <c r="E156" s="9"/>
      <c r="F156" s="9"/>
      <c r="G156" s="9"/>
    </row>
    <row r="157">
      <c r="A157" s="8"/>
      <c r="B157" s="9"/>
      <c r="C157" s="9"/>
      <c r="D157" s="9"/>
      <c r="E157" s="9"/>
      <c r="F157" s="9"/>
      <c r="G157" s="9"/>
    </row>
    <row r="158">
      <c r="A158" s="8"/>
      <c r="B158" s="9"/>
      <c r="C158" s="9"/>
      <c r="D158" s="9"/>
      <c r="E158" s="9"/>
      <c r="F158" s="9"/>
      <c r="G158" s="9"/>
    </row>
    <row r="159">
      <c r="A159" s="8"/>
      <c r="B159" s="9"/>
      <c r="C159" s="9"/>
      <c r="D159" s="9"/>
      <c r="E159" s="9"/>
      <c r="F159" s="9"/>
      <c r="G159" s="9"/>
    </row>
    <row r="160">
      <c r="A160" s="8"/>
      <c r="B160" s="9"/>
      <c r="C160" s="9"/>
      <c r="D160" s="9"/>
      <c r="E160" s="9"/>
      <c r="F160" s="9"/>
      <c r="G160" s="9"/>
    </row>
    <row r="161">
      <c r="A161" s="8"/>
      <c r="B161" s="9"/>
      <c r="C161" s="9"/>
      <c r="D161" s="9"/>
      <c r="E161" s="9"/>
      <c r="F161" s="9"/>
      <c r="G161" s="9"/>
    </row>
    <row r="162">
      <c r="A162" s="8"/>
      <c r="B162" s="9"/>
      <c r="C162" s="9"/>
      <c r="D162" s="9"/>
      <c r="E162" s="9"/>
      <c r="F162" s="9"/>
      <c r="G162" s="9"/>
    </row>
    <row r="163">
      <c r="A163" s="8"/>
      <c r="B163" s="9"/>
      <c r="C163" s="9"/>
      <c r="D163" s="9"/>
      <c r="E163" s="9"/>
      <c r="F163" s="9"/>
      <c r="G163" s="9"/>
    </row>
    <row r="164">
      <c r="A164" s="8"/>
      <c r="B164" s="9"/>
      <c r="C164" s="9"/>
      <c r="D164" s="9"/>
      <c r="E164" s="9"/>
      <c r="F164" s="9"/>
      <c r="G164" s="9"/>
    </row>
    <row r="165">
      <c r="A165" s="8"/>
      <c r="B165" s="9"/>
      <c r="C165" s="9"/>
      <c r="D165" s="9"/>
      <c r="E165" s="9"/>
      <c r="F165" s="9"/>
      <c r="G165" s="9"/>
    </row>
    <row r="166">
      <c r="A166" s="8"/>
      <c r="B166" s="9"/>
      <c r="C166" s="9"/>
      <c r="D166" s="9"/>
      <c r="E166" s="9"/>
      <c r="F166" s="9"/>
      <c r="G166" s="9"/>
    </row>
    <row r="167">
      <c r="A167" s="8"/>
      <c r="B167" s="9"/>
      <c r="C167" s="9"/>
      <c r="D167" s="9"/>
      <c r="E167" s="9"/>
      <c r="F167" s="9"/>
      <c r="G167" s="9"/>
    </row>
    <row r="168">
      <c r="A168" s="8"/>
      <c r="B168" s="9"/>
      <c r="C168" s="9"/>
      <c r="D168" s="9"/>
      <c r="E168" s="9"/>
      <c r="F168" s="9"/>
      <c r="G168" s="9"/>
    </row>
    <row r="169">
      <c r="A169" s="8"/>
      <c r="B169" s="9"/>
      <c r="C169" s="9"/>
      <c r="D169" s="9"/>
      <c r="E169" s="9"/>
      <c r="F169" s="9"/>
      <c r="G169" s="9"/>
    </row>
    <row r="170">
      <c r="A170" s="8"/>
      <c r="B170" s="9"/>
      <c r="C170" s="9"/>
      <c r="D170" s="9"/>
      <c r="E170" s="9"/>
      <c r="F170" s="9"/>
      <c r="G170" s="9"/>
    </row>
    <row r="171">
      <c r="A171" s="8"/>
      <c r="B171" s="9"/>
      <c r="C171" s="9"/>
      <c r="D171" s="9"/>
      <c r="E171" s="9"/>
      <c r="F171" s="9"/>
      <c r="G171" s="9"/>
    </row>
    <row r="172">
      <c r="A172" s="8"/>
      <c r="B172" s="9"/>
      <c r="C172" s="9"/>
      <c r="D172" s="9"/>
      <c r="E172" s="9"/>
      <c r="F172" s="9"/>
      <c r="G172" s="9"/>
    </row>
    <row r="173">
      <c r="A173" s="8"/>
      <c r="B173" s="9"/>
      <c r="C173" s="9"/>
      <c r="D173" s="9"/>
      <c r="E173" s="9"/>
      <c r="F173" s="9"/>
      <c r="G173" s="9"/>
    </row>
    <row r="174">
      <c r="A174" s="8"/>
      <c r="B174" s="9"/>
      <c r="C174" s="9"/>
      <c r="D174" s="9"/>
      <c r="E174" s="9"/>
      <c r="F174" s="9"/>
      <c r="G174" s="9"/>
    </row>
    <row r="175">
      <c r="A175" s="8"/>
      <c r="B175" s="9"/>
      <c r="C175" s="9"/>
      <c r="D175" s="9"/>
      <c r="E175" s="9"/>
      <c r="F175" s="9"/>
      <c r="G175" s="9"/>
    </row>
    <row r="176">
      <c r="A176" s="8"/>
      <c r="B176" s="9"/>
      <c r="C176" s="9"/>
      <c r="D176" s="9"/>
      <c r="E176" s="9"/>
      <c r="F176" s="9"/>
      <c r="G176" s="9"/>
    </row>
    <row r="177">
      <c r="A177" s="8"/>
      <c r="B177" s="9"/>
      <c r="C177" s="9"/>
      <c r="D177" s="9"/>
      <c r="E177" s="9"/>
      <c r="F177" s="9"/>
      <c r="G177" s="9"/>
    </row>
    <row r="178">
      <c r="A178" s="8"/>
      <c r="B178" s="9"/>
      <c r="C178" s="9"/>
      <c r="D178" s="9"/>
      <c r="E178" s="9"/>
      <c r="F178" s="9"/>
      <c r="G178" s="9"/>
    </row>
    <row r="179">
      <c r="A179" s="8"/>
      <c r="B179" s="9"/>
      <c r="C179" s="9"/>
      <c r="D179" s="9"/>
      <c r="E179" s="9"/>
      <c r="F179" s="9"/>
      <c r="G179" s="9"/>
    </row>
    <row r="180">
      <c r="A180" s="8"/>
      <c r="B180" s="9"/>
      <c r="C180" s="9"/>
      <c r="D180" s="9"/>
      <c r="E180" s="9"/>
      <c r="F180" s="9"/>
      <c r="G180" s="9"/>
    </row>
    <row r="181">
      <c r="A181" s="8"/>
      <c r="B181" s="9"/>
      <c r="C181" s="9"/>
      <c r="D181" s="9"/>
      <c r="E181" s="9"/>
      <c r="F181" s="9"/>
      <c r="G181" s="9"/>
    </row>
    <row r="182">
      <c r="A182" s="8"/>
      <c r="B182" s="9"/>
      <c r="C182" s="9"/>
      <c r="D182" s="9"/>
      <c r="E182" s="9"/>
      <c r="F182" s="9"/>
      <c r="G182" s="9"/>
    </row>
    <row r="183">
      <c r="A183" s="8"/>
      <c r="B183" s="9"/>
      <c r="C183" s="9"/>
      <c r="D183" s="9"/>
      <c r="E183" s="9"/>
      <c r="F183" s="9"/>
      <c r="G183" s="9"/>
    </row>
    <row r="184">
      <c r="A184" s="8"/>
      <c r="B184" s="9"/>
      <c r="C184" s="9"/>
      <c r="D184" s="9"/>
      <c r="E184" s="9"/>
      <c r="F184" s="9"/>
      <c r="G184" s="9"/>
    </row>
    <row r="185">
      <c r="A185" s="8"/>
      <c r="B185" s="9"/>
      <c r="C185" s="9"/>
      <c r="D185" s="9"/>
      <c r="E185" s="9"/>
      <c r="F185" s="9"/>
      <c r="G185" s="9"/>
    </row>
    <row r="186">
      <c r="A186" s="8"/>
      <c r="B186" s="9"/>
      <c r="C186" s="9"/>
      <c r="D186" s="9"/>
      <c r="E186" s="9"/>
      <c r="F186" s="9"/>
      <c r="G186" s="9"/>
    </row>
    <row r="187">
      <c r="A187" s="8"/>
      <c r="B187" s="9"/>
      <c r="C187" s="9"/>
      <c r="D187" s="9"/>
      <c r="E187" s="9"/>
      <c r="F187" s="9"/>
      <c r="G187" s="9"/>
    </row>
    <row r="188">
      <c r="A188" s="8"/>
      <c r="B188" s="9"/>
      <c r="C188" s="9"/>
      <c r="D188" s="9"/>
      <c r="E188" s="9"/>
      <c r="F188" s="9"/>
      <c r="G188" s="9"/>
    </row>
    <row r="189">
      <c r="A189" s="8"/>
      <c r="B189" s="9"/>
      <c r="C189" s="9"/>
      <c r="D189" s="9"/>
      <c r="E189" s="9"/>
      <c r="F189" s="9"/>
      <c r="G189" s="9"/>
    </row>
    <row r="190">
      <c r="A190" s="8"/>
      <c r="B190" s="9"/>
      <c r="C190" s="9"/>
      <c r="D190" s="9"/>
      <c r="E190" s="9"/>
      <c r="F190" s="9"/>
      <c r="G190" s="9"/>
    </row>
    <row r="191">
      <c r="A191" s="8"/>
      <c r="B191" s="9"/>
      <c r="C191" s="9"/>
      <c r="D191" s="9"/>
      <c r="E191" s="9"/>
      <c r="F191" s="9"/>
      <c r="G191" s="9"/>
    </row>
    <row r="192">
      <c r="A192" s="8"/>
      <c r="B192" s="9"/>
      <c r="C192" s="9"/>
      <c r="D192" s="9"/>
      <c r="E192" s="9"/>
      <c r="F192" s="9"/>
      <c r="G192" s="9"/>
    </row>
    <row r="193">
      <c r="A193" s="8"/>
      <c r="B193" s="9"/>
      <c r="C193" s="9"/>
      <c r="D193" s="9"/>
      <c r="E193" s="9"/>
      <c r="F193" s="9"/>
      <c r="G193" s="9"/>
    </row>
    <row r="194">
      <c r="A194" s="8"/>
      <c r="B194" s="9"/>
      <c r="C194" s="9"/>
      <c r="D194" s="9"/>
      <c r="E194" s="9"/>
      <c r="F194" s="9"/>
      <c r="G194" s="9"/>
    </row>
    <row r="195">
      <c r="A195" s="8"/>
      <c r="B195" s="9"/>
      <c r="C195" s="9"/>
      <c r="D195" s="9"/>
      <c r="E195" s="9"/>
      <c r="F195" s="9"/>
      <c r="G195" s="9"/>
    </row>
    <row r="196">
      <c r="A196" s="8"/>
      <c r="B196" s="9"/>
      <c r="C196" s="9"/>
      <c r="D196" s="9"/>
      <c r="E196" s="9"/>
      <c r="F196" s="9"/>
      <c r="G196" s="9"/>
    </row>
    <row r="197">
      <c r="A197" s="8"/>
      <c r="B197" s="9"/>
      <c r="C197" s="9"/>
      <c r="D197" s="9"/>
      <c r="E197" s="9"/>
      <c r="F197" s="9"/>
      <c r="G197" s="9"/>
    </row>
    <row r="198">
      <c r="A198" s="8"/>
      <c r="B198" s="9"/>
      <c r="C198" s="9"/>
      <c r="D198" s="9"/>
      <c r="E198" s="9"/>
      <c r="F198" s="9"/>
      <c r="G198" s="9"/>
    </row>
    <row r="199">
      <c r="A199" s="8"/>
      <c r="B199" s="9"/>
      <c r="C199" s="9"/>
      <c r="D199" s="9"/>
      <c r="E199" s="9"/>
      <c r="F199" s="9"/>
      <c r="G199" s="9"/>
    </row>
    <row r="200">
      <c r="A200" s="8"/>
      <c r="B200" s="9"/>
      <c r="C200" s="9"/>
      <c r="D200" s="9"/>
      <c r="E200" s="9"/>
      <c r="F200" s="9"/>
      <c r="G200" s="9"/>
    </row>
    <row r="201">
      <c r="A201" s="8"/>
      <c r="B201" s="9"/>
      <c r="C201" s="9"/>
      <c r="D201" s="9"/>
      <c r="E201" s="9"/>
      <c r="F201" s="9"/>
      <c r="G201" s="9"/>
    </row>
    <row r="202">
      <c r="A202" s="8"/>
      <c r="B202" s="9"/>
      <c r="C202" s="9"/>
      <c r="D202" s="9"/>
      <c r="E202" s="9"/>
      <c r="F202" s="9"/>
      <c r="G202" s="9"/>
    </row>
    <row r="203">
      <c r="A203" s="8"/>
      <c r="B203" s="9"/>
      <c r="C203" s="9"/>
      <c r="D203" s="9"/>
      <c r="E203" s="9"/>
      <c r="F203" s="9"/>
      <c r="G203" s="9"/>
    </row>
    <row r="204">
      <c r="A204" s="8"/>
      <c r="B204" s="9"/>
      <c r="C204" s="9"/>
      <c r="D204" s="9"/>
      <c r="E204" s="9"/>
      <c r="F204" s="9"/>
      <c r="G204" s="9"/>
    </row>
    <row r="205">
      <c r="A205" s="8"/>
      <c r="B205" s="9"/>
      <c r="C205" s="9"/>
      <c r="D205" s="9"/>
      <c r="E205" s="9"/>
      <c r="F205" s="9"/>
      <c r="G205" s="9"/>
    </row>
    <row r="206">
      <c r="A206" s="8"/>
      <c r="B206" s="9"/>
      <c r="C206" s="9"/>
      <c r="D206" s="9"/>
      <c r="E206" s="9"/>
      <c r="F206" s="9"/>
      <c r="G206" s="9"/>
    </row>
    <row r="207">
      <c r="A207" s="8"/>
      <c r="B207" s="9"/>
      <c r="C207" s="9"/>
      <c r="D207" s="9"/>
      <c r="E207" s="9"/>
      <c r="F207" s="9"/>
      <c r="G207" s="9"/>
    </row>
    <row r="208">
      <c r="A208" s="8"/>
      <c r="B208" s="9"/>
      <c r="C208" s="9"/>
      <c r="D208" s="9"/>
      <c r="E208" s="9"/>
      <c r="F208" s="9"/>
      <c r="G208" s="9"/>
    </row>
    <row r="209">
      <c r="A209" s="8"/>
      <c r="B209" s="9"/>
      <c r="C209" s="9"/>
      <c r="D209" s="9"/>
      <c r="E209" s="9"/>
      <c r="F209" s="9"/>
      <c r="G209" s="9"/>
    </row>
    <row r="210">
      <c r="A210" s="8"/>
      <c r="B210" s="9"/>
      <c r="C210" s="9"/>
      <c r="D210" s="9"/>
      <c r="E210" s="9"/>
      <c r="F210" s="9"/>
      <c r="G210" s="9"/>
    </row>
    <row r="211">
      <c r="A211" s="8"/>
      <c r="B211" s="9"/>
      <c r="C211" s="9"/>
      <c r="D211" s="9"/>
      <c r="E211" s="9"/>
      <c r="F211" s="9"/>
      <c r="G211" s="9"/>
    </row>
    <row r="212">
      <c r="A212" s="8"/>
      <c r="B212" s="9"/>
      <c r="C212" s="9"/>
      <c r="D212" s="9"/>
      <c r="E212" s="9"/>
      <c r="F212" s="9"/>
      <c r="G212" s="9"/>
    </row>
    <row r="213">
      <c r="A213" s="8"/>
      <c r="B213" s="9"/>
      <c r="C213" s="9"/>
      <c r="D213" s="9"/>
      <c r="E213" s="9"/>
      <c r="F213" s="9"/>
      <c r="G213" s="9"/>
    </row>
    <row r="214">
      <c r="A214" s="8"/>
      <c r="B214" s="9"/>
      <c r="C214" s="9"/>
      <c r="D214" s="9"/>
      <c r="E214" s="9"/>
      <c r="F214" s="9"/>
      <c r="G214" s="9"/>
    </row>
    <row r="215">
      <c r="A215" s="8"/>
      <c r="B215" s="9"/>
      <c r="C215" s="9"/>
      <c r="D215" s="9"/>
      <c r="E215" s="9"/>
      <c r="F215" s="9"/>
      <c r="G215" s="9"/>
    </row>
    <row r="216">
      <c r="A216" s="8"/>
      <c r="B216" s="9"/>
      <c r="C216" s="9"/>
      <c r="D216" s="9"/>
      <c r="E216" s="9"/>
      <c r="F216" s="9"/>
      <c r="G216" s="9"/>
    </row>
    <row r="217">
      <c r="A217" s="8"/>
      <c r="B217" s="9"/>
      <c r="C217" s="9"/>
      <c r="D217" s="9"/>
      <c r="E217" s="9"/>
      <c r="F217" s="9"/>
      <c r="G217" s="9"/>
    </row>
    <row r="218">
      <c r="A218" s="8"/>
      <c r="B218" s="9"/>
      <c r="C218" s="9"/>
      <c r="D218" s="9"/>
      <c r="E218" s="9"/>
      <c r="F218" s="9"/>
      <c r="G218" s="9"/>
    </row>
    <row r="219">
      <c r="A219" s="8"/>
      <c r="B219" s="9"/>
      <c r="C219" s="9"/>
      <c r="D219" s="9"/>
      <c r="E219" s="9"/>
      <c r="F219" s="9"/>
      <c r="G219" s="9"/>
    </row>
    <row r="220">
      <c r="A220" s="8"/>
      <c r="B220" s="9"/>
      <c r="C220" s="9"/>
      <c r="D220" s="9"/>
      <c r="E220" s="9"/>
      <c r="F220" s="9"/>
      <c r="G220" s="9"/>
    </row>
    <row r="221">
      <c r="A221" s="8"/>
      <c r="B221" s="9"/>
      <c r="C221" s="9"/>
      <c r="D221" s="9"/>
      <c r="E221" s="9"/>
      <c r="F221" s="9"/>
      <c r="G221" s="9"/>
    </row>
    <row r="222">
      <c r="A222" s="8"/>
      <c r="B222" s="9"/>
      <c r="C222" s="9"/>
      <c r="D222" s="9"/>
      <c r="E222" s="9"/>
      <c r="F222" s="9"/>
      <c r="G222" s="9"/>
    </row>
    <row r="223">
      <c r="A223" s="8"/>
      <c r="B223" s="9"/>
      <c r="C223" s="9"/>
      <c r="D223" s="9"/>
      <c r="E223" s="9"/>
      <c r="F223" s="9"/>
      <c r="G223" s="9"/>
    </row>
    <row r="224">
      <c r="A224" s="8"/>
      <c r="B224" s="9"/>
      <c r="C224" s="9"/>
      <c r="D224" s="9"/>
      <c r="E224" s="9"/>
      <c r="F224" s="9"/>
      <c r="G224" s="9"/>
    </row>
    <row r="225">
      <c r="A225" s="8"/>
      <c r="B225" s="9"/>
      <c r="C225" s="9"/>
      <c r="D225" s="9"/>
      <c r="E225" s="9"/>
      <c r="F225" s="9"/>
      <c r="G225" s="9"/>
    </row>
    <row r="226">
      <c r="A226" s="8"/>
      <c r="B226" s="9"/>
      <c r="C226" s="9"/>
      <c r="D226" s="9"/>
      <c r="E226" s="9"/>
      <c r="F226" s="9"/>
      <c r="G226" s="9"/>
    </row>
    <row r="227">
      <c r="A227" s="8"/>
      <c r="B227" s="9"/>
      <c r="C227" s="9"/>
      <c r="D227" s="9"/>
      <c r="E227" s="9"/>
      <c r="F227" s="9"/>
      <c r="G227" s="9"/>
    </row>
    <row r="228">
      <c r="A228" s="8"/>
      <c r="B228" s="9"/>
      <c r="C228" s="9"/>
      <c r="D228" s="9"/>
      <c r="E228" s="9"/>
      <c r="F228" s="9"/>
      <c r="G228" s="9"/>
    </row>
    <row r="229">
      <c r="A229" s="8"/>
      <c r="B229" s="9"/>
      <c r="C229" s="9"/>
      <c r="D229" s="9"/>
      <c r="E229" s="9"/>
      <c r="F229" s="9"/>
      <c r="G229" s="9"/>
    </row>
    <row r="230">
      <c r="A230" s="8"/>
      <c r="B230" s="9"/>
      <c r="C230" s="9"/>
      <c r="D230" s="9"/>
      <c r="E230" s="9"/>
      <c r="F230" s="9"/>
      <c r="G230" s="9"/>
    </row>
    <row r="231">
      <c r="A231" s="8"/>
      <c r="B231" s="9"/>
      <c r="C231" s="9"/>
      <c r="D231" s="9"/>
      <c r="E231" s="9"/>
      <c r="F231" s="9"/>
      <c r="G231" s="9"/>
    </row>
    <row r="232">
      <c r="A232" s="8"/>
      <c r="B232" s="9"/>
      <c r="C232" s="9"/>
      <c r="D232" s="9"/>
      <c r="E232" s="9"/>
      <c r="F232" s="9"/>
      <c r="G232" s="9"/>
    </row>
    <row r="233">
      <c r="A233" s="8"/>
      <c r="B233" s="9"/>
      <c r="C233" s="9"/>
      <c r="D233" s="9"/>
      <c r="E233" s="9"/>
      <c r="F233" s="9"/>
      <c r="G233" s="9"/>
    </row>
    <row r="234">
      <c r="A234" s="8"/>
      <c r="B234" s="9"/>
      <c r="C234" s="9"/>
      <c r="D234" s="9"/>
      <c r="E234" s="9"/>
      <c r="F234" s="9"/>
      <c r="G234" s="9"/>
    </row>
    <row r="235">
      <c r="A235" s="8"/>
      <c r="B235" s="9"/>
      <c r="C235" s="9"/>
      <c r="D235" s="9"/>
      <c r="E235" s="9"/>
      <c r="F235" s="9"/>
      <c r="G235" s="9"/>
    </row>
    <row r="236">
      <c r="A236" s="8"/>
      <c r="B236" s="9"/>
      <c r="C236" s="9"/>
      <c r="D236" s="9"/>
      <c r="E236" s="9"/>
      <c r="F236" s="9"/>
      <c r="G236" s="9"/>
    </row>
    <row r="237">
      <c r="A237" s="8"/>
      <c r="B237" s="9"/>
      <c r="C237" s="9"/>
      <c r="D237" s="9"/>
      <c r="E237" s="9"/>
      <c r="F237" s="9"/>
      <c r="G237" s="9"/>
    </row>
    <row r="238">
      <c r="A238" s="8"/>
      <c r="B238" s="9"/>
      <c r="C238" s="9"/>
      <c r="D238" s="9"/>
      <c r="E238" s="9"/>
      <c r="F238" s="9"/>
      <c r="G238" s="9"/>
    </row>
    <row r="239">
      <c r="A239" s="8"/>
      <c r="B239" s="9"/>
      <c r="C239" s="9"/>
      <c r="D239" s="9"/>
      <c r="E239" s="9"/>
      <c r="F239" s="9"/>
      <c r="G239" s="9"/>
    </row>
    <row r="240">
      <c r="A240" s="8"/>
      <c r="B240" s="9"/>
      <c r="C240" s="9"/>
      <c r="D240" s="9"/>
      <c r="E240" s="9"/>
      <c r="F240" s="9"/>
      <c r="G240" s="9"/>
    </row>
    <row r="241">
      <c r="A241" s="8"/>
      <c r="B241" s="9"/>
      <c r="C241" s="9"/>
      <c r="D241" s="9"/>
      <c r="E241" s="9"/>
      <c r="F241" s="9"/>
      <c r="G241" s="9"/>
    </row>
    <row r="242">
      <c r="A242" s="8"/>
      <c r="B242" s="9"/>
      <c r="C242" s="9"/>
      <c r="D242" s="9"/>
      <c r="E242" s="9"/>
      <c r="F242" s="9"/>
      <c r="G242" s="9"/>
    </row>
    <row r="243">
      <c r="A243" s="8"/>
      <c r="B243" s="9"/>
      <c r="C243" s="9"/>
      <c r="D243" s="9"/>
      <c r="E243" s="9"/>
      <c r="F243" s="9"/>
      <c r="G243" s="9"/>
    </row>
    <row r="244">
      <c r="A244" s="8"/>
      <c r="B244" s="9"/>
      <c r="C244" s="9"/>
      <c r="D244" s="9"/>
      <c r="E244" s="9"/>
      <c r="F244" s="9"/>
      <c r="G244" s="9"/>
    </row>
    <row r="245">
      <c r="A245" s="8"/>
      <c r="B245" s="9"/>
      <c r="C245" s="9"/>
      <c r="D245" s="9"/>
      <c r="E245" s="9"/>
      <c r="F245" s="9"/>
      <c r="G245" s="9"/>
    </row>
    <row r="246">
      <c r="A246" s="8"/>
      <c r="B246" s="9"/>
      <c r="C246" s="9"/>
      <c r="D246" s="9"/>
      <c r="E246" s="9"/>
      <c r="F246" s="9"/>
      <c r="G246" s="9"/>
    </row>
    <row r="247">
      <c r="A247" s="8"/>
      <c r="B247" s="9"/>
      <c r="C247" s="9"/>
      <c r="D247" s="9"/>
      <c r="E247" s="9"/>
      <c r="F247" s="9"/>
      <c r="G247" s="9"/>
    </row>
    <row r="248">
      <c r="A248" s="8"/>
      <c r="B248" s="9"/>
      <c r="C248" s="9"/>
      <c r="D248" s="9"/>
      <c r="E248" s="9"/>
      <c r="F248" s="9"/>
      <c r="G248" s="9"/>
    </row>
    <row r="249">
      <c r="A249" s="8"/>
      <c r="B249" s="9"/>
      <c r="C249" s="9"/>
      <c r="D249" s="9"/>
      <c r="E249" s="9"/>
      <c r="F249" s="9"/>
      <c r="G249" s="9"/>
    </row>
    <row r="250">
      <c r="A250" s="8"/>
      <c r="B250" s="9"/>
      <c r="C250" s="9"/>
      <c r="D250" s="9"/>
      <c r="E250" s="9"/>
      <c r="F250" s="9"/>
      <c r="G250" s="9"/>
    </row>
    <row r="251">
      <c r="A251" s="8"/>
      <c r="B251" s="9"/>
      <c r="C251" s="9"/>
      <c r="D251" s="9"/>
      <c r="E251" s="9"/>
      <c r="F251" s="9"/>
      <c r="G251" s="9"/>
    </row>
    <row r="252">
      <c r="A252" s="8"/>
      <c r="B252" s="9"/>
      <c r="C252" s="9"/>
      <c r="D252" s="9"/>
      <c r="E252" s="9"/>
      <c r="F252" s="9"/>
      <c r="G252" s="9"/>
    </row>
    <row r="253">
      <c r="A253" s="8"/>
      <c r="B253" s="9"/>
      <c r="C253" s="9"/>
      <c r="D253" s="9"/>
      <c r="E253" s="9"/>
      <c r="F253" s="9"/>
      <c r="G253" s="9"/>
    </row>
    <row r="254">
      <c r="A254" s="8"/>
      <c r="B254" s="9"/>
      <c r="C254" s="9"/>
      <c r="D254" s="9"/>
      <c r="E254" s="9"/>
      <c r="F254" s="9"/>
      <c r="G254" s="9"/>
    </row>
    <row r="255">
      <c r="A255" s="8"/>
      <c r="B255" s="9"/>
      <c r="C255" s="9"/>
      <c r="D255" s="9"/>
      <c r="E255" s="9"/>
      <c r="F255" s="9"/>
      <c r="G255" s="9"/>
    </row>
    <row r="256">
      <c r="A256" s="8"/>
      <c r="B256" s="9"/>
      <c r="C256" s="9"/>
      <c r="D256" s="9"/>
      <c r="E256" s="9"/>
      <c r="F256" s="9"/>
      <c r="G256" s="9"/>
    </row>
    <row r="257">
      <c r="A257" s="8"/>
      <c r="B257" s="9"/>
      <c r="C257" s="9"/>
      <c r="D257" s="9"/>
      <c r="E257" s="9"/>
      <c r="F257" s="9"/>
      <c r="G257" s="9"/>
    </row>
    <row r="258">
      <c r="A258" s="8"/>
      <c r="B258" s="9"/>
      <c r="C258" s="9"/>
      <c r="D258" s="9"/>
      <c r="E258" s="9"/>
      <c r="F258" s="9"/>
      <c r="G258" s="9"/>
    </row>
    <row r="259">
      <c r="A259" s="8"/>
      <c r="B259" s="9"/>
      <c r="C259" s="9"/>
      <c r="D259" s="9"/>
      <c r="E259" s="9"/>
      <c r="F259" s="9"/>
      <c r="G259" s="9"/>
    </row>
    <row r="260">
      <c r="A260" s="8"/>
      <c r="B260" s="9"/>
      <c r="C260" s="9"/>
      <c r="D260" s="9"/>
      <c r="E260" s="9"/>
      <c r="F260" s="9"/>
      <c r="G260" s="9"/>
    </row>
    <row r="261">
      <c r="A261" s="8"/>
      <c r="B261" s="9"/>
      <c r="C261" s="9"/>
      <c r="D261" s="9"/>
      <c r="E261" s="9"/>
      <c r="F261" s="9"/>
      <c r="G261" s="9"/>
    </row>
    <row r="262">
      <c r="A262" s="8"/>
      <c r="B262" s="9"/>
      <c r="C262" s="9"/>
      <c r="D262" s="9"/>
      <c r="E262" s="9"/>
      <c r="F262" s="9"/>
      <c r="G262" s="9"/>
    </row>
    <row r="263">
      <c r="A263" s="8"/>
      <c r="B263" s="9"/>
      <c r="C263" s="9"/>
      <c r="D263" s="9"/>
      <c r="E263" s="9"/>
      <c r="F263" s="9"/>
      <c r="G263" s="9"/>
    </row>
    <row r="264">
      <c r="A264" s="8"/>
      <c r="B264" s="9"/>
      <c r="C264" s="9"/>
      <c r="D264" s="9"/>
      <c r="E264" s="9"/>
      <c r="F264" s="9"/>
      <c r="G264" s="9"/>
    </row>
    <row r="265">
      <c r="A265" s="8"/>
      <c r="B265" s="9"/>
      <c r="C265" s="9"/>
      <c r="D265" s="9"/>
      <c r="E265" s="9"/>
      <c r="F265" s="9"/>
      <c r="G265" s="9"/>
    </row>
    <row r="266">
      <c r="A266" s="8"/>
      <c r="B266" s="9"/>
      <c r="C266" s="9"/>
      <c r="D266" s="9"/>
      <c r="E266" s="9"/>
      <c r="F266" s="9"/>
      <c r="G266" s="9"/>
    </row>
    <row r="267">
      <c r="A267" s="8"/>
      <c r="B267" s="9"/>
      <c r="C267" s="9"/>
      <c r="D267" s="9"/>
      <c r="E267" s="9"/>
      <c r="F267" s="9"/>
      <c r="G267" s="9"/>
    </row>
    <row r="268">
      <c r="A268" s="8"/>
      <c r="B268" s="9"/>
      <c r="C268" s="9"/>
      <c r="D268" s="9"/>
      <c r="E268" s="9"/>
      <c r="F268" s="9"/>
      <c r="G268" s="9"/>
    </row>
    <row r="269">
      <c r="A269" s="8"/>
      <c r="B269" s="9"/>
      <c r="C269" s="9"/>
      <c r="D269" s="9"/>
      <c r="E269" s="9"/>
      <c r="F269" s="9"/>
      <c r="G269" s="9"/>
    </row>
    <row r="270">
      <c r="A270" s="8"/>
      <c r="B270" s="9"/>
      <c r="C270" s="9"/>
      <c r="D270" s="9"/>
      <c r="E270" s="9"/>
      <c r="F270" s="9"/>
      <c r="G270" s="9"/>
    </row>
    <row r="271">
      <c r="A271" s="8"/>
      <c r="B271" s="9"/>
      <c r="C271" s="9"/>
      <c r="D271" s="9"/>
      <c r="E271" s="9"/>
      <c r="F271" s="9"/>
      <c r="G271" s="9"/>
    </row>
    <row r="272">
      <c r="A272" s="8"/>
      <c r="B272" s="9"/>
      <c r="C272" s="9"/>
      <c r="D272" s="9"/>
      <c r="E272" s="9"/>
      <c r="F272" s="9"/>
      <c r="G272" s="9"/>
    </row>
    <row r="273">
      <c r="A273" s="8"/>
      <c r="B273" s="9"/>
      <c r="C273" s="9"/>
      <c r="D273" s="9"/>
      <c r="E273" s="9"/>
      <c r="F273" s="9"/>
      <c r="G273" s="9"/>
    </row>
    <row r="274">
      <c r="A274" s="8"/>
      <c r="B274" s="9"/>
      <c r="C274" s="9"/>
      <c r="D274" s="9"/>
      <c r="E274" s="9"/>
      <c r="F274" s="9"/>
      <c r="G274" s="9"/>
    </row>
    <row r="275">
      <c r="A275" s="8"/>
      <c r="B275" s="9"/>
      <c r="C275" s="9"/>
      <c r="D275" s="9"/>
      <c r="E275" s="9"/>
      <c r="F275" s="9"/>
      <c r="G275" s="9"/>
    </row>
    <row r="276">
      <c r="A276" s="8"/>
      <c r="B276" s="9"/>
      <c r="C276" s="9"/>
      <c r="D276" s="9"/>
      <c r="E276" s="9"/>
      <c r="F276" s="9"/>
      <c r="G276" s="9"/>
    </row>
    <row r="277">
      <c r="A277" s="8"/>
      <c r="B277" s="9"/>
      <c r="C277" s="9"/>
      <c r="D277" s="9"/>
      <c r="E277" s="9"/>
      <c r="F277" s="9"/>
      <c r="G277" s="9"/>
    </row>
    <row r="278">
      <c r="A278" s="8"/>
      <c r="B278" s="9"/>
      <c r="C278" s="9"/>
      <c r="D278" s="9"/>
      <c r="E278" s="9"/>
      <c r="F278" s="9"/>
      <c r="G278" s="9"/>
    </row>
    <row r="279">
      <c r="A279" s="8"/>
      <c r="B279" s="9"/>
      <c r="C279" s="9"/>
      <c r="D279" s="9"/>
      <c r="E279" s="9"/>
      <c r="F279" s="9"/>
      <c r="G279" s="9"/>
    </row>
    <row r="280">
      <c r="A280" s="8"/>
      <c r="B280" s="9"/>
      <c r="C280" s="9"/>
      <c r="D280" s="9"/>
      <c r="E280" s="9"/>
      <c r="F280" s="9"/>
      <c r="G280" s="9"/>
    </row>
    <row r="281">
      <c r="A281" s="8"/>
      <c r="B281" s="9"/>
      <c r="C281" s="9"/>
      <c r="D281" s="9"/>
      <c r="E281" s="9"/>
      <c r="F281" s="9"/>
      <c r="G281" s="9"/>
    </row>
    <row r="282">
      <c r="A282" s="8"/>
      <c r="B282" s="9"/>
      <c r="C282" s="9"/>
      <c r="D282" s="9"/>
      <c r="E282" s="9"/>
      <c r="F282" s="9"/>
      <c r="G282" s="9"/>
    </row>
    <row r="283">
      <c r="A283" s="8"/>
      <c r="B283" s="9"/>
      <c r="C283" s="9"/>
      <c r="D283" s="9"/>
      <c r="E283" s="9"/>
      <c r="F283" s="9"/>
      <c r="G283" s="9"/>
    </row>
    <row r="284">
      <c r="A284" s="8"/>
      <c r="B284" s="9"/>
      <c r="C284" s="9"/>
      <c r="D284" s="9"/>
      <c r="E284" s="9"/>
      <c r="F284" s="9"/>
      <c r="G284" s="9"/>
    </row>
    <row r="285">
      <c r="A285" s="8"/>
      <c r="B285" s="9"/>
      <c r="C285" s="9"/>
      <c r="D285" s="9"/>
      <c r="E285" s="9"/>
      <c r="F285" s="9"/>
      <c r="G285" s="9"/>
    </row>
    <row r="286">
      <c r="A286" s="8"/>
      <c r="B286" s="9"/>
      <c r="C286" s="9"/>
      <c r="D286" s="9"/>
      <c r="E286" s="9"/>
      <c r="F286" s="9"/>
      <c r="G286" s="9"/>
    </row>
    <row r="287">
      <c r="A287" s="8"/>
      <c r="B287" s="9"/>
      <c r="C287" s="9"/>
      <c r="D287" s="9"/>
      <c r="E287" s="9"/>
      <c r="F287" s="9"/>
      <c r="G287" s="9"/>
    </row>
    <row r="288">
      <c r="A288" s="8"/>
      <c r="B288" s="9"/>
      <c r="C288" s="9"/>
      <c r="D288" s="9"/>
      <c r="E288" s="9"/>
      <c r="F288" s="9"/>
      <c r="G288" s="9"/>
    </row>
    <row r="289">
      <c r="A289" s="8"/>
      <c r="B289" s="9"/>
      <c r="C289" s="9"/>
      <c r="D289" s="9"/>
      <c r="E289" s="9"/>
      <c r="F289" s="9"/>
      <c r="G289" s="9"/>
    </row>
    <row r="290">
      <c r="A290" s="8"/>
      <c r="B290" s="9"/>
      <c r="C290" s="9"/>
      <c r="D290" s="9"/>
      <c r="E290" s="9"/>
      <c r="F290" s="9"/>
      <c r="G290" s="9"/>
    </row>
    <row r="291">
      <c r="A291" s="8"/>
      <c r="B291" s="9"/>
      <c r="C291" s="9"/>
      <c r="D291" s="9"/>
      <c r="E291" s="9"/>
      <c r="F291" s="9"/>
      <c r="G291" s="9"/>
    </row>
    <row r="292">
      <c r="A292" s="8"/>
      <c r="B292" s="9"/>
      <c r="C292" s="9"/>
      <c r="D292" s="9"/>
      <c r="E292" s="9"/>
      <c r="F292" s="9"/>
      <c r="G292" s="9"/>
    </row>
    <row r="293">
      <c r="A293" s="8"/>
      <c r="B293" s="9"/>
      <c r="C293" s="9"/>
      <c r="D293" s="9"/>
      <c r="E293" s="9"/>
      <c r="F293" s="9"/>
      <c r="G293" s="9"/>
    </row>
    <row r="294">
      <c r="A294" s="8"/>
      <c r="B294" s="9"/>
      <c r="C294" s="9"/>
      <c r="D294" s="9"/>
      <c r="E294" s="9"/>
      <c r="F294" s="9"/>
      <c r="G294" s="9"/>
    </row>
    <row r="295">
      <c r="A295" s="8"/>
      <c r="B295" s="9"/>
      <c r="C295" s="9"/>
      <c r="D295" s="9"/>
      <c r="E295" s="9"/>
      <c r="F295" s="9"/>
      <c r="G295" s="9"/>
    </row>
    <row r="296">
      <c r="A296" s="8"/>
      <c r="B296" s="9"/>
      <c r="C296" s="9"/>
      <c r="D296" s="9"/>
      <c r="E296" s="9"/>
      <c r="F296" s="9"/>
      <c r="G296" s="9"/>
    </row>
    <row r="297">
      <c r="A297" s="8"/>
      <c r="B297" s="9"/>
      <c r="C297" s="9"/>
      <c r="D297" s="9"/>
      <c r="E297" s="9"/>
      <c r="F297" s="9"/>
      <c r="G297" s="9"/>
    </row>
    <row r="298">
      <c r="A298" s="8"/>
      <c r="B298" s="9"/>
      <c r="C298" s="9"/>
      <c r="D298" s="9"/>
      <c r="E298" s="9"/>
      <c r="F298" s="9"/>
      <c r="G298" s="9"/>
    </row>
    <row r="299">
      <c r="A299" s="8"/>
      <c r="B299" s="9"/>
      <c r="C299" s="9"/>
      <c r="D299" s="9"/>
      <c r="E299" s="9"/>
      <c r="F299" s="9"/>
      <c r="G299" s="9"/>
    </row>
    <row r="300">
      <c r="A300" s="8"/>
      <c r="B300" s="9"/>
      <c r="C300" s="9"/>
      <c r="D300" s="9"/>
      <c r="E300" s="9"/>
      <c r="F300" s="9"/>
      <c r="G300" s="9"/>
    </row>
    <row r="301">
      <c r="A301" s="8"/>
      <c r="B301" s="9"/>
      <c r="C301" s="9"/>
      <c r="D301" s="9"/>
      <c r="E301" s="9"/>
      <c r="F301" s="9"/>
      <c r="G301" s="9"/>
    </row>
    <row r="302">
      <c r="A302" s="8"/>
      <c r="B302" s="9"/>
      <c r="C302" s="9"/>
      <c r="D302" s="9"/>
      <c r="E302" s="9"/>
      <c r="F302" s="9"/>
      <c r="G302" s="9"/>
    </row>
    <row r="303">
      <c r="A303" s="8"/>
      <c r="B303" s="9"/>
      <c r="C303" s="9"/>
      <c r="D303" s="9"/>
      <c r="E303" s="9"/>
      <c r="F303" s="9"/>
      <c r="G303" s="9"/>
    </row>
    <row r="304">
      <c r="A304" s="8"/>
      <c r="B304" s="9"/>
      <c r="C304" s="9"/>
      <c r="D304" s="9"/>
      <c r="E304" s="9"/>
      <c r="F304" s="9"/>
      <c r="G304" s="9"/>
    </row>
    <row r="305">
      <c r="A305" s="8"/>
      <c r="B305" s="9"/>
      <c r="C305" s="9"/>
      <c r="D305" s="9"/>
      <c r="E305" s="9"/>
      <c r="F305" s="9"/>
      <c r="G305" s="9"/>
    </row>
    <row r="306">
      <c r="A306" s="8"/>
      <c r="B306" s="9"/>
      <c r="C306" s="9"/>
      <c r="D306" s="9"/>
      <c r="E306" s="9"/>
      <c r="F306" s="9"/>
      <c r="G306" s="9"/>
    </row>
    <row r="307">
      <c r="A307" s="8"/>
      <c r="B307" s="9"/>
      <c r="C307" s="9"/>
      <c r="D307" s="9"/>
      <c r="E307" s="9"/>
      <c r="F307" s="9"/>
      <c r="G307" s="9"/>
    </row>
    <row r="308">
      <c r="A308" s="8"/>
      <c r="B308" s="9"/>
      <c r="C308" s="9"/>
      <c r="D308" s="9"/>
      <c r="E308" s="9"/>
      <c r="F308" s="9"/>
      <c r="G308" s="9"/>
    </row>
    <row r="309">
      <c r="A309" s="8"/>
      <c r="B309" s="9"/>
      <c r="C309" s="9"/>
      <c r="D309" s="9"/>
      <c r="E309" s="9"/>
      <c r="F309" s="9"/>
      <c r="G309" s="9"/>
    </row>
    <row r="310">
      <c r="A310" s="8"/>
      <c r="B310" s="9"/>
      <c r="C310" s="9"/>
      <c r="D310" s="9"/>
      <c r="E310" s="9"/>
      <c r="F310" s="9"/>
      <c r="G310" s="9"/>
    </row>
    <row r="311">
      <c r="A311" s="8"/>
      <c r="B311" s="9"/>
      <c r="C311" s="9"/>
      <c r="D311" s="9"/>
      <c r="E311" s="9"/>
      <c r="F311" s="9"/>
      <c r="G311" s="9"/>
    </row>
    <row r="312">
      <c r="A312" s="8"/>
      <c r="B312" s="9"/>
      <c r="C312" s="9"/>
      <c r="D312" s="9"/>
      <c r="E312" s="9"/>
      <c r="F312" s="9"/>
      <c r="G312" s="9"/>
    </row>
    <row r="313">
      <c r="A313" s="8"/>
      <c r="B313" s="9"/>
      <c r="C313" s="9"/>
      <c r="D313" s="9"/>
      <c r="E313" s="9"/>
      <c r="F313" s="9"/>
      <c r="G313" s="9"/>
    </row>
    <row r="314">
      <c r="A314" s="8"/>
      <c r="B314" s="9"/>
      <c r="C314" s="9"/>
      <c r="D314" s="9"/>
      <c r="E314" s="9"/>
      <c r="F314" s="9"/>
      <c r="G314" s="9"/>
    </row>
    <row r="315">
      <c r="A315" s="8"/>
      <c r="B315" s="9"/>
      <c r="C315" s="9"/>
      <c r="D315" s="9"/>
      <c r="E315" s="9"/>
      <c r="F315" s="9"/>
      <c r="G315" s="9"/>
    </row>
    <row r="316">
      <c r="A316" s="8"/>
      <c r="B316" s="9"/>
      <c r="C316" s="9"/>
      <c r="D316" s="9"/>
      <c r="E316" s="9"/>
      <c r="F316" s="9"/>
      <c r="G316" s="9"/>
    </row>
    <row r="317">
      <c r="A317" s="8"/>
      <c r="B317" s="9"/>
      <c r="C317" s="9"/>
      <c r="D317" s="9"/>
      <c r="E317" s="9"/>
      <c r="F317" s="9"/>
      <c r="G317" s="9"/>
    </row>
    <row r="318">
      <c r="A318" s="8"/>
      <c r="B318" s="9"/>
      <c r="C318" s="9"/>
      <c r="D318" s="9"/>
      <c r="E318" s="9"/>
      <c r="F318" s="9"/>
      <c r="G318" s="9"/>
    </row>
    <row r="319">
      <c r="A319" s="8"/>
      <c r="B319" s="9"/>
      <c r="C319" s="9"/>
      <c r="D319" s="9"/>
      <c r="E319" s="9"/>
      <c r="F319" s="9"/>
      <c r="G319" s="9"/>
    </row>
    <row r="320">
      <c r="A320" s="8"/>
      <c r="B320" s="9"/>
      <c r="C320" s="9"/>
      <c r="D320" s="9"/>
      <c r="E320" s="9"/>
      <c r="F320" s="9"/>
      <c r="G320" s="9"/>
    </row>
    <row r="321">
      <c r="A321" s="8"/>
      <c r="B321" s="9"/>
      <c r="C321" s="9"/>
      <c r="D321" s="9"/>
      <c r="E321" s="9"/>
      <c r="F321" s="9"/>
      <c r="G321" s="9"/>
    </row>
    <row r="322">
      <c r="A322" s="8"/>
      <c r="B322" s="9"/>
      <c r="C322" s="9"/>
      <c r="D322" s="9"/>
      <c r="E322" s="9"/>
      <c r="F322" s="9"/>
      <c r="G322" s="9"/>
    </row>
    <row r="323">
      <c r="A323" s="8"/>
      <c r="B323" s="9"/>
      <c r="C323" s="9"/>
      <c r="D323" s="9"/>
      <c r="E323" s="9"/>
      <c r="F323" s="9"/>
      <c r="G323" s="9"/>
    </row>
    <row r="324">
      <c r="A324" s="8"/>
      <c r="B324" s="9"/>
      <c r="C324" s="9"/>
      <c r="D324" s="9"/>
      <c r="E324" s="9"/>
      <c r="F324" s="9"/>
      <c r="G324" s="9"/>
    </row>
    <row r="325">
      <c r="A325" s="8"/>
      <c r="B325" s="9"/>
      <c r="C325" s="9"/>
      <c r="D325" s="9"/>
      <c r="E325" s="9"/>
      <c r="F325" s="9"/>
      <c r="G325" s="9"/>
    </row>
    <row r="326">
      <c r="A326" s="8"/>
      <c r="B326" s="9"/>
      <c r="C326" s="9"/>
      <c r="D326" s="9"/>
      <c r="E326" s="9"/>
      <c r="F326" s="9"/>
      <c r="G326" s="9"/>
    </row>
    <row r="327">
      <c r="A327" s="8"/>
      <c r="B327" s="9"/>
      <c r="C327" s="9"/>
      <c r="D327" s="9"/>
      <c r="E327" s="9"/>
      <c r="F327" s="9"/>
      <c r="G327" s="9"/>
    </row>
    <row r="328">
      <c r="A328" s="8"/>
      <c r="B328" s="9"/>
      <c r="C328" s="9"/>
      <c r="D328" s="9"/>
      <c r="E328" s="9"/>
      <c r="F328" s="9"/>
      <c r="G328" s="9"/>
    </row>
    <row r="329">
      <c r="A329" s="8"/>
      <c r="B329" s="9"/>
      <c r="C329" s="9"/>
      <c r="D329" s="9"/>
      <c r="E329" s="9"/>
      <c r="F329" s="9"/>
      <c r="G329" s="9"/>
    </row>
    <row r="330">
      <c r="A330" s="8"/>
      <c r="B330" s="9"/>
      <c r="C330" s="9"/>
      <c r="D330" s="9"/>
      <c r="E330" s="9"/>
      <c r="F330" s="9"/>
      <c r="G330" s="9"/>
    </row>
    <row r="331">
      <c r="A331" s="8"/>
      <c r="B331" s="9"/>
      <c r="C331" s="9"/>
      <c r="D331" s="9"/>
      <c r="E331" s="9"/>
      <c r="F331" s="9"/>
      <c r="G331" s="9"/>
    </row>
    <row r="332">
      <c r="A332" s="8"/>
      <c r="B332" s="9"/>
      <c r="C332" s="9"/>
      <c r="D332" s="9"/>
      <c r="E332" s="9"/>
      <c r="F332" s="9"/>
      <c r="G332" s="9"/>
    </row>
    <row r="333">
      <c r="A333" s="8"/>
      <c r="B333" s="9"/>
      <c r="C333" s="9"/>
      <c r="D333" s="9"/>
      <c r="E333" s="9"/>
      <c r="F333" s="9"/>
      <c r="G333" s="9"/>
    </row>
    <row r="334">
      <c r="A334" s="8"/>
      <c r="B334" s="9"/>
      <c r="C334" s="9"/>
      <c r="D334" s="9"/>
      <c r="E334" s="9"/>
      <c r="F334" s="9"/>
      <c r="G334" s="9"/>
    </row>
    <row r="335">
      <c r="A335" s="8"/>
      <c r="B335" s="9"/>
      <c r="C335" s="9"/>
      <c r="D335" s="9"/>
      <c r="E335" s="9"/>
      <c r="F335" s="9"/>
      <c r="G335" s="9"/>
    </row>
    <row r="336">
      <c r="A336" s="8"/>
      <c r="B336" s="9"/>
      <c r="C336" s="9"/>
      <c r="D336" s="9"/>
      <c r="E336" s="9"/>
      <c r="F336" s="9"/>
      <c r="G336" s="9"/>
    </row>
    <row r="337">
      <c r="A337" s="8"/>
      <c r="B337" s="9"/>
      <c r="C337" s="9"/>
      <c r="D337" s="9"/>
      <c r="E337" s="9"/>
      <c r="F337" s="9"/>
      <c r="G337" s="9"/>
    </row>
    <row r="338">
      <c r="A338" s="8"/>
      <c r="B338" s="9"/>
      <c r="C338" s="9"/>
      <c r="D338" s="9"/>
      <c r="E338" s="9"/>
      <c r="F338" s="9"/>
      <c r="G338" s="9"/>
    </row>
    <row r="339">
      <c r="A339" s="8"/>
      <c r="B339" s="9"/>
      <c r="C339" s="9"/>
      <c r="D339" s="9"/>
      <c r="E339" s="9"/>
      <c r="F339" s="9"/>
      <c r="G339" s="9"/>
    </row>
    <row r="340">
      <c r="A340" s="8"/>
      <c r="B340" s="9"/>
      <c r="C340" s="9"/>
      <c r="D340" s="9"/>
      <c r="E340" s="9"/>
      <c r="F340" s="9"/>
      <c r="G340" s="9"/>
    </row>
    <row r="341">
      <c r="A341" s="8"/>
      <c r="B341" s="9"/>
      <c r="C341" s="9"/>
      <c r="D341" s="9"/>
      <c r="E341" s="9"/>
      <c r="F341" s="9"/>
      <c r="G341" s="9"/>
    </row>
    <row r="342">
      <c r="A342" s="8"/>
      <c r="B342" s="9"/>
      <c r="C342" s="9"/>
      <c r="D342" s="9"/>
      <c r="E342" s="9"/>
      <c r="F342" s="9"/>
      <c r="G342" s="9"/>
    </row>
    <row r="343">
      <c r="A343" s="8"/>
      <c r="B343" s="9"/>
      <c r="C343" s="9"/>
      <c r="D343" s="9"/>
      <c r="E343" s="9"/>
      <c r="F343" s="9"/>
      <c r="G343" s="9"/>
    </row>
    <row r="344">
      <c r="A344" s="8"/>
      <c r="B344" s="9"/>
      <c r="C344" s="9"/>
      <c r="D344" s="9"/>
      <c r="E344" s="9"/>
      <c r="F344" s="9"/>
      <c r="G344" s="9"/>
    </row>
    <row r="345">
      <c r="A345" s="8"/>
      <c r="B345" s="9"/>
      <c r="C345" s="9"/>
      <c r="D345" s="9"/>
      <c r="E345" s="9"/>
      <c r="F345" s="9"/>
      <c r="G345" s="9"/>
    </row>
    <row r="346">
      <c r="A346" s="8"/>
      <c r="B346" s="9"/>
      <c r="C346" s="9"/>
      <c r="D346" s="9"/>
      <c r="E346" s="9"/>
      <c r="F346" s="9"/>
      <c r="G346" s="9"/>
    </row>
    <row r="347">
      <c r="A347" s="8"/>
      <c r="B347" s="9"/>
      <c r="C347" s="9"/>
      <c r="D347" s="9"/>
      <c r="E347" s="9"/>
      <c r="F347" s="9"/>
      <c r="G347" s="9"/>
    </row>
    <row r="348">
      <c r="A348" s="8"/>
      <c r="B348" s="9"/>
      <c r="C348" s="9"/>
      <c r="D348" s="9"/>
      <c r="E348" s="9"/>
      <c r="F348" s="9"/>
      <c r="G348" s="9"/>
    </row>
    <row r="349">
      <c r="A349" s="8"/>
      <c r="B349" s="9"/>
      <c r="C349" s="9"/>
      <c r="D349" s="9"/>
      <c r="E349" s="9"/>
      <c r="F349" s="9"/>
      <c r="G349" s="9"/>
    </row>
    <row r="350">
      <c r="A350" s="8"/>
      <c r="B350" s="9"/>
      <c r="C350" s="9"/>
      <c r="D350" s="9"/>
      <c r="E350" s="9"/>
      <c r="F350" s="9"/>
      <c r="G350" s="9"/>
    </row>
    <row r="351">
      <c r="A351" s="8"/>
      <c r="B351" s="9"/>
      <c r="C351" s="9"/>
      <c r="D351" s="9"/>
      <c r="E351" s="9"/>
      <c r="F351" s="9"/>
      <c r="G351" s="9"/>
    </row>
    <row r="352">
      <c r="A352" s="8"/>
      <c r="B352" s="9"/>
      <c r="C352" s="9"/>
      <c r="D352" s="9"/>
      <c r="E352" s="9"/>
      <c r="F352" s="9"/>
      <c r="G352" s="9"/>
    </row>
    <row r="353">
      <c r="A353" s="8"/>
      <c r="B353" s="9"/>
      <c r="C353" s="9"/>
      <c r="D353" s="9"/>
      <c r="E353" s="9"/>
      <c r="F353" s="9"/>
      <c r="G353" s="9"/>
    </row>
    <row r="354">
      <c r="A354" s="8"/>
      <c r="B354" s="9"/>
      <c r="C354" s="9"/>
      <c r="D354" s="9"/>
      <c r="E354" s="9"/>
      <c r="F354" s="9"/>
      <c r="G354" s="9"/>
    </row>
    <row r="355">
      <c r="A355" s="8"/>
      <c r="B355" s="9"/>
      <c r="C355" s="9"/>
      <c r="D355" s="9"/>
      <c r="E355" s="9"/>
      <c r="F355" s="9"/>
      <c r="G355" s="9"/>
    </row>
    <row r="356">
      <c r="A356" s="8"/>
      <c r="B356" s="9"/>
      <c r="C356" s="9"/>
      <c r="D356" s="9"/>
      <c r="E356" s="9"/>
      <c r="F356" s="9"/>
      <c r="G356" s="9"/>
    </row>
    <row r="357">
      <c r="A357" s="8"/>
      <c r="B357" s="9"/>
      <c r="C357" s="9"/>
      <c r="D357" s="9"/>
      <c r="E357" s="9"/>
      <c r="F357" s="9"/>
      <c r="G357" s="9"/>
    </row>
    <row r="358">
      <c r="A358" s="8"/>
      <c r="B358" s="9"/>
      <c r="C358" s="9"/>
      <c r="D358" s="9"/>
      <c r="E358" s="9"/>
      <c r="F358" s="9"/>
      <c r="G358" s="9"/>
    </row>
    <row r="359">
      <c r="A359" s="8"/>
      <c r="B359" s="9"/>
      <c r="C359" s="9"/>
      <c r="D359" s="9"/>
      <c r="E359" s="9"/>
      <c r="F359" s="9"/>
      <c r="G359" s="9"/>
    </row>
    <row r="360">
      <c r="A360" s="8"/>
      <c r="B360" s="9"/>
      <c r="C360" s="9"/>
      <c r="D360" s="9"/>
      <c r="E360" s="9"/>
      <c r="F360" s="9"/>
      <c r="G360" s="9"/>
    </row>
    <row r="361">
      <c r="A361" s="8"/>
      <c r="B361" s="9"/>
      <c r="C361" s="9"/>
      <c r="D361" s="9"/>
      <c r="E361" s="9"/>
      <c r="F361" s="9"/>
      <c r="G361" s="9"/>
    </row>
    <row r="362">
      <c r="A362" s="8"/>
      <c r="B362" s="9"/>
      <c r="C362" s="9"/>
      <c r="D362" s="9"/>
      <c r="E362" s="9"/>
      <c r="F362" s="9"/>
      <c r="G362" s="9"/>
    </row>
    <row r="363">
      <c r="A363" s="8"/>
      <c r="B363" s="9"/>
      <c r="C363" s="9"/>
      <c r="D363" s="9"/>
      <c r="E363" s="9"/>
      <c r="F363" s="9"/>
      <c r="G363" s="9"/>
    </row>
    <row r="364">
      <c r="A364" s="8"/>
      <c r="B364" s="9"/>
      <c r="C364" s="9"/>
      <c r="D364" s="9"/>
      <c r="E364" s="9"/>
      <c r="F364" s="9"/>
      <c r="G364" s="9"/>
    </row>
    <row r="365">
      <c r="A365" s="8"/>
      <c r="B365" s="9"/>
      <c r="C365" s="9"/>
      <c r="D365" s="9"/>
      <c r="E365" s="9"/>
      <c r="F365" s="9"/>
      <c r="G365" s="9"/>
    </row>
    <row r="366">
      <c r="A366" s="8"/>
      <c r="B366" s="9"/>
      <c r="C366" s="9"/>
      <c r="D366" s="9"/>
      <c r="E366" s="9"/>
      <c r="F366" s="9"/>
      <c r="G366" s="9"/>
    </row>
    <row r="367">
      <c r="A367" s="8"/>
      <c r="B367" s="9"/>
      <c r="C367" s="9"/>
      <c r="D367" s="9"/>
      <c r="E367" s="9"/>
      <c r="F367" s="9"/>
      <c r="G367" s="9"/>
    </row>
    <row r="368">
      <c r="A368" s="8"/>
      <c r="B368" s="9"/>
      <c r="C368" s="9"/>
      <c r="D368" s="9"/>
      <c r="E368" s="9"/>
      <c r="F368" s="9"/>
      <c r="G368" s="9"/>
    </row>
    <row r="369">
      <c r="A369" s="8"/>
      <c r="B369" s="9"/>
      <c r="C369" s="9"/>
      <c r="D369" s="9"/>
      <c r="E369" s="9"/>
      <c r="F369" s="9"/>
      <c r="G369" s="9"/>
    </row>
    <row r="370">
      <c r="A370" s="8"/>
      <c r="B370" s="9"/>
      <c r="C370" s="9"/>
      <c r="D370" s="9"/>
      <c r="E370" s="9"/>
      <c r="F370" s="9"/>
      <c r="G370" s="9"/>
    </row>
    <row r="371">
      <c r="A371" s="8"/>
      <c r="B371" s="9"/>
      <c r="C371" s="9"/>
      <c r="D371" s="9"/>
      <c r="E371" s="9"/>
      <c r="F371" s="9"/>
      <c r="G371" s="9"/>
    </row>
    <row r="372">
      <c r="A372" s="8"/>
      <c r="B372" s="9"/>
      <c r="C372" s="9"/>
      <c r="D372" s="9"/>
      <c r="E372" s="9"/>
      <c r="F372" s="9"/>
      <c r="G372" s="9"/>
    </row>
    <row r="373">
      <c r="A373" s="8"/>
      <c r="B373" s="9"/>
      <c r="C373" s="9"/>
      <c r="D373" s="9"/>
      <c r="E373" s="9"/>
      <c r="F373" s="9"/>
      <c r="G373" s="9"/>
    </row>
    <row r="374">
      <c r="A374" s="8"/>
      <c r="B374" s="9"/>
      <c r="C374" s="9"/>
      <c r="D374" s="9"/>
      <c r="E374" s="9"/>
      <c r="F374" s="9"/>
      <c r="G374" s="9"/>
    </row>
    <row r="375">
      <c r="A375" s="8"/>
      <c r="B375" s="9"/>
      <c r="C375" s="9"/>
      <c r="D375" s="9"/>
      <c r="E375" s="9"/>
      <c r="F375" s="9"/>
      <c r="G375" s="9"/>
    </row>
    <row r="376">
      <c r="A376" s="8"/>
      <c r="B376" s="9"/>
      <c r="C376" s="9"/>
      <c r="D376" s="9"/>
      <c r="E376" s="9"/>
      <c r="F376" s="9"/>
      <c r="G376" s="9"/>
    </row>
    <row r="377">
      <c r="A377" s="8"/>
      <c r="B377" s="9"/>
      <c r="C377" s="9"/>
      <c r="D377" s="9"/>
      <c r="E377" s="9"/>
      <c r="F377" s="9"/>
      <c r="G377" s="9"/>
    </row>
    <row r="378">
      <c r="A378" s="8"/>
      <c r="B378" s="9"/>
      <c r="C378" s="9"/>
      <c r="D378" s="9"/>
      <c r="E378" s="9"/>
      <c r="F378" s="9"/>
      <c r="G378" s="9"/>
    </row>
    <row r="379">
      <c r="A379" s="8"/>
      <c r="B379" s="9"/>
      <c r="C379" s="9"/>
      <c r="D379" s="9"/>
      <c r="E379" s="9"/>
      <c r="F379" s="9"/>
      <c r="G379" s="9"/>
    </row>
    <row r="380">
      <c r="A380" s="8"/>
      <c r="B380" s="9"/>
      <c r="C380" s="9"/>
      <c r="D380" s="9"/>
      <c r="E380" s="9"/>
      <c r="F380" s="9"/>
      <c r="G380" s="9"/>
    </row>
    <row r="381">
      <c r="A381" s="8"/>
      <c r="B381" s="9"/>
      <c r="C381" s="9"/>
      <c r="D381" s="9"/>
      <c r="E381" s="9"/>
      <c r="F381" s="9"/>
      <c r="G381" s="9"/>
    </row>
    <row r="382">
      <c r="A382" s="8"/>
      <c r="B382" s="9"/>
      <c r="C382" s="9"/>
      <c r="D382" s="9"/>
      <c r="E382" s="9"/>
      <c r="F382" s="9"/>
      <c r="G382" s="9"/>
    </row>
    <row r="383">
      <c r="A383" s="8"/>
      <c r="B383" s="9"/>
      <c r="C383" s="9"/>
      <c r="D383" s="9"/>
      <c r="E383" s="9"/>
      <c r="F383" s="9"/>
      <c r="G383" s="9"/>
    </row>
    <row r="384">
      <c r="A384" s="8"/>
      <c r="B384" s="9"/>
      <c r="C384" s="9"/>
      <c r="D384" s="9"/>
      <c r="E384" s="9"/>
      <c r="F384" s="9"/>
      <c r="G384" s="9"/>
    </row>
    <row r="385">
      <c r="A385" s="8"/>
      <c r="B385" s="9"/>
      <c r="C385" s="9"/>
      <c r="D385" s="9"/>
      <c r="E385" s="9"/>
      <c r="F385" s="9"/>
      <c r="G385" s="9"/>
    </row>
    <row r="386">
      <c r="A386" s="8"/>
      <c r="B386" s="9"/>
      <c r="C386" s="9"/>
      <c r="D386" s="9"/>
      <c r="E386" s="9"/>
      <c r="F386" s="9"/>
      <c r="G386" s="9"/>
    </row>
    <row r="387">
      <c r="A387" s="8"/>
      <c r="B387" s="9"/>
      <c r="C387" s="9"/>
      <c r="D387" s="9"/>
      <c r="E387" s="9"/>
      <c r="F387" s="9"/>
      <c r="G387" s="9"/>
    </row>
    <row r="388">
      <c r="A388" s="8"/>
      <c r="B388" s="9"/>
      <c r="C388" s="9"/>
      <c r="D388" s="9"/>
      <c r="E388" s="9"/>
      <c r="F388" s="9"/>
      <c r="G388" s="9"/>
    </row>
    <row r="389">
      <c r="A389" s="8"/>
      <c r="B389" s="9"/>
      <c r="C389" s="9"/>
      <c r="D389" s="9"/>
      <c r="E389" s="9"/>
      <c r="F389" s="9"/>
      <c r="G389" s="9"/>
    </row>
    <row r="390">
      <c r="A390" s="8"/>
      <c r="B390" s="9"/>
      <c r="C390" s="9"/>
      <c r="D390" s="9"/>
      <c r="E390" s="9"/>
      <c r="F390" s="9"/>
      <c r="G390" s="9"/>
    </row>
    <row r="391">
      <c r="A391" s="8"/>
      <c r="B391" s="9"/>
      <c r="C391" s="9"/>
      <c r="D391" s="9"/>
      <c r="E391" s="9"/>
      <c r="F391" s="9"/>
      <c r="G391" s="9"/>
    </row>
    <row r="392">
      <c r="A392" s="8"/>
      <c r="B392" s="9"/>
      <c r="C392" s="9"/>
      <c r="D392" s="9"/>
      <c r="E392" s="9"/>
      <c r="F392" s="9"/>
      <c r="G392" s="9"/>
    </row>
    <row r="393">
      <c r="A393" s="8"/>
      <c r="B393" s="9"/>
      <c r="C393" s="9"/>
      <c r="D393" s="9"/>
      <c r="E393" s="9"/>
      <c r="F393" s="9"/>
      <c r="G393" s="9"/>
    </row>
    <row r="394">
      <c r="A394" s="8"/>
      <c r="B394" s="9"/>
      <c r="C394" s="9"/>
      <c r="D394" s="9"/>
      <c r="E394" s="9"/>
      <c r="F394" s="9"/>
      <c r="G394" s="9"/>
    </row>
    <row r="395">
      <c r="A395" s="8"/>
      <c r="B395" s="9"/>
      <c r="C395" s="9"/>
      <c r="D395" s="9"/>
      <c r="E395" s="9"/>
      <c r="F395" s="9"/>
      <c r="G395" s="9"/>
    </row>
    <row r="396">
      <c r="A396" s="8"/>
      <c r="B396" s="9"/>
      <c r="C396" s="9"/>
      <c r="D396" s="9"/>
      <c r="E396" s="9"/>
      <c r="F396" s="9"/>
      <c r="G396" s="9"/>
    </row>
    <row r="397">
      <c r="A397" s="8"/>
      <c r="B397" s="9"/>
      <c r="C397" s="9"/>
      <c r="D397" s="9"/>
      <c r="E397" s="9"/>
      <c r="F397" s="9"/>
      <c r="G397" s="9"/>
    </row>
    <row r="398">
      <c r="A398" s="8"/>
      <c r="B398" s="9"/>
      <c r="C398" s="9"/>
      <c r="D398" s="9"/>
      <c r="E398" s="9"/>
      <c r="F398" s="9"/>
      <c r="G398" s="9"/>
    </row>
    <row r="399">
      <c r="A399" s="8"/>
      <c r="B399" s="9"/>
      <c r="C399" s="9"/>
      <c r="D399" s="9"/>
      <c r="E399" s="9"/>
      <c r="F399" s="9"/>
      <c r="G399" s="9"/>
    </row>
    <row r="400">
      <c r="A400" s="8"/>
      <c r="B400" s="9"/>
      <c r="C400" s="9"/>
      <c r="D400" s="9"/>
      <c r="E400" s="9"/>
      <c r="F400" s="9"/>
      <c r="G400" s="9"/>
    </row>
    <row r="401">
      <c r="A401" s="8"/>
      <c r="B401" s="9"/>
      <c r="C401" s="9"/>
      <c r="D401" s="9"/>
      <c r="E401" s="9"/>
      <c r="F401" s="9"/>
      <c r="G401" s="9"/>
    </row>
    <row r="402">
      <c r="A402" s="8"/>
      <c r="B402" s="9"/>
      <c r="C402" s="9"/>
      <c r="D402" s="9"/>
      <c r="E402" s="9"/>
      <c r="F402" s="9"/>
      <c r="G402" s="9"/>
    </row>
    <row r="403">
      <c r="A403" s="8"/>
      <c r="B403" s="9"/>
      <c r="C403" s="9"/>
      <c r="D403" s="9"/>
      <c r="E403" s="9"/>
      <c r="F403" s="9"/>
      <c r="G403" s="9"/>
    </row>
    <row r="404">
      <c r="A404" s="8"/>
      <c r="B404" s="9"/>
      <c r="C404" s="9"/>
      <c r="D404" s="9"/>
      <c r="E404" s="9"/>
      <c r="F404" s="9"/>
      <c r="G404" s="9"/>
    </row>
    <row r="405">
      <c r="A405" s="8"/>
      <c r="B405" s="9"/>
      <c r="C405" s="9"/>
      <c r="D405" s="9"/>
      <c r="E405" s="9"/>
      <c r="F405" s="9"/>
      <c r="G405" s="9"/>
    </row>
    <row r="406">
      <c r="A406" s="8"/>
      <c r="B406" s="9"/>
      <c r="C406" s="9"/>
      <c r="D406" s="9"/>
      <c r="E406" s="9"/>
      <c r="F406" s="9"/>
      <c r="G406" s="9"/>
    </row>
    <row r="407">
      <c r="A407" s="8"/>
      <c r="B407" s="9"/>
      <c r="C407" s="9"/>
      <c r="D407" s="9"/>
      <c r="E407" s="9"/>
      <c r="F407" s="9"/>
      <c r="G407" s="9"/>
    </row>
    <row r="408">
      <c r="A408" s="8"/>
      <c r="B408" s="9"/>
      <c r="C408" s="9"/>
      <c r="D408" s="9"/>
      <c r="E408" s="9"/>
      <c r="F408" s="9"/>
      <c r="G408" s="9"/>
    </row>
    <row r="409">
      <c r="A409" s="8"/>
      <c r="B409" s="9"/>
      <c r="C409" s="9"/>
      <c r="D409" s="9"/>
      <c r="E409" s="9"/>
      <c r="F409" s="9"/>
      <c r="G409" s="9"/>
    </row>
    <row r="410">
      <c r="A410" s="8"/>
      <c r="B410" s="9"/>
      <c r="C410" s="9"/>
      <c r="D410" s="9"/>
      <c r="E410" s="9"/>
      <c r="F410" s="9"/>
      <c r="G410" s="9"/>
    </row>
    <row r="411">
      <c r="A411" s="8"/>
      <c r="B411" s="9"/>
      <c r="C411" s="9"/>
      <c r="D411" s="9"/>
      <c r="E411" s="9"/>
      <c r="F411" s="9"/>
      <c r="G411" s="9"/>
    </row>
    <row r="412">
      <c r="A412" s="8"/>
      <c r="B412" s="9"/>
      <c r="C412" s="9"/>
      <c r="D412" s="9"/>
      <c r="E412" s="9"/>
      <c r="F412" s="9"/>
      <c r="G412" s="9"/>
    </row>
    <row r="413">
      <c r="A413" s="8"/>
      <c r="B413" s="9"/>
      <c r="C413" s="9"/>
      <c r="D413" s="9"/>
      <c r="E413" s="9"/>
      <c r="F413" s="9"/>
      <c r="G413" s="9"/>
    </row>
    <row r="414">
      <c r="A414" s="8"/>
      <c r="B414" s="9"/>
      <c r="C414" s="9"/>
      <c r="D414" s="9"/>
      <c r="E414" s="9"/>
      <c r="F414" s="9"/>
      <c r="G414" s="9"/>
    </row>
    <row r="415">
      <c r="A415" s="8"/>
      <c r="B415" s="9"/>
      <c r="C415" s="9"/>
      <c r="D415" s="9"/>
      <c r="E415" s="9"/>
      <c r="F415" s="9"/>
      <c r="G415" s="9"/>
    </row>
    <row r="416">
      <c r="A416" s="8"/>
      <c r="B416" s="9"/>
      <c r="C416" s="9"/>
      <c r="D416" s="9"/>
      <c r="E416" s="9"/>
      <c r="F416" s="9"/>
      <c r="G416" s="9"/>
    </row>
    <row r="417">
      <c r="A417" s="8"/>
      <c r="B417" s="9"/>
      <c r="C417" s="9"/>
      <c r="D417" s="9"/>
      <c r="E417" s="9"/>
      <c r="F417" s="9"/>
      <c r="G417" s="9"/>
    </row>
    <row r="418">
      <c r="A418" s="8"/>
      <c r="B418" s="9"/>
      <c r="C418" s="9"/>
      <c r="D418" s="9"/>
      <c r="E418" s="9"/>
      <c r="F418" s="9"/>
      <c r="G418" s="9"/>
    </row>
    <row r="419">
      <c r="A419" s="8"/>
      <c r="B419" s="9"/>
      <c r="C419" s="9"/>
      <c r="D419" s="9"/>
      <c r="E419" s="9"/>
      <c r="F419" s="9"/>
      <c r="G419" s="9"/>
    </row>
    <row r="420">
      <c r="A420" s="8"/>
      <c r="B420" s="9"/>
      <c r="C420" s="9"/>
      <c r="D420" s="9"/>
      <c r="E420" s="9"/>
      <c r="F420" s="9"/>
      <c r="G420" s="9"/>
    </row>
    <row r="421">
      <c r="A421" s="8"/>
      <c r="B421" s="9"/>
      <c r="C421" s="9"/>
      <c r="D421" s="9"/>
      <c r="E421" s="9"/>
      <c r="F421" s="9"/>
      <c r="G421" s="9"/>
    </row>
    <row r="422">
      <c r="A422" s="8"/>
      <c r="B422" s="9"/>
      <c r="C422" s="9"/>
      <c r="D422" s="9"/>
      <c r="E422" s="9"/>
      <c r="F422" s="9"/>
      <c r="G422" s="9"/>
    </row>
    <row r="423">
      <c r="A423" s="8"/>
      <c r="B423" s="9"/>
      <c r="C423" s="9"/>
      <c r="D423" s="9"/>
      <c r="E423" s="9"/>
      <c r="F423" s="9"/>
      <c r="G423" s="9"/>
    </row>
    <row r="424">
      <c r="A424" s="8"/>
      <c r="B424" s="9"/>
      <c r="C424" s="9"/>
      <c r="D424" s="9"/>
      <c r="E424" s="9"/>
      <c r="F424" s="9"/>
      <c r="G424" s="9"/>
    </row>
    <row r="425">
      <c r="A425" s="8"/>
      <c r="B425" s="9"/>
      <c r="C425" s="9"/>
      <c r="D425" s="9"/>
      <c r="E425" s="9"/>
      <c r="F425" s="9"/>
      <c r="G425" s="9"/>
    </row>
    <row r="426">
      <c r="A426" s="8"/>
      <c r="B426" s="9"/>
      <c r="C426" s="9"/>
      <c r="D426" s="9"/>
      <c r="E426" s="9"/>
      <c r="F426" s="9"/>
      <c r="G426" s="9"/>
    </row>
    <row r="427">
      <c r="A427" s="8"/>
      <c r="B427" s="9"/>
      <c r="C427" s="9"/>
      <c r="D427" s="9"/>
      <c r="E427" s="9"/>
      <c r="F427" s="9"/>
      <c r="G427" s="9"/>
    </row>
    <row r="428">
      <c r="A428" s="8"/>
      <c r="B428" s="9"/>
      <c r="C428" s="9"/>
      <c r="D428" s="9"/>
      <c r="E428" s="9"/>
      <c r="F428" s="9"/>
      <c r="G428" s="9"/>
    </row>
    <row r="429">
      <c r="A429" s="8"/>
      <c r="B429" s="9"/>
      <c r="C429" s="9"/>
      <c r="D429" s="9"/>
      <c r="E429" s="9"/>
      <c r="F429" s="9"/>
      <c r="G429" s="9"/>
    </row>
    <row r="430">
      <c r="A430" s="8"/>
      <c r="B430" s="9"/>
      <c r="C430" s="9"/>
      <c r="D430" s="9"/>
      <c r="E430" s="9"/>
      <c r="F430" s="9"/>
      <c r="G430" s="9"/>
    </row>
    <row r="431">
      <c r="A431" s="8"/>
      <c r="B431" s="9"/>
      <c r="C431" s="9"/>
      <c r="D431" s="9"/>
      <c r="E431" s="9"/>
      <c r="F431" s="9"/>
      <c r="G431" s="9"/>
    </row>
    <row r="432">
      <c r="A432" s="8"/>
      <c r="B432" s="9"/>
      <c r="C432" s="9"/>
      <c r="D432" s="9"/>
      <c r="E432" s="9"/>
      <c r="F432" s="9"/>
      <c r="G432" s="9"/>
    </row>
    <row r="433">
      <c r="A433" s="8"/>
      <c r="B433" s="9"/>
      <c r="C433" s="9"/>
      <c r="D433" s="9"/>
      <c r="E433" s="9"/>
      <c r="F433" s="9"/>
      <c r="G433" s="9"/>
    </row>
    <row r="434">
      <c r="A434" s="8"/>
      <c r="B434" s="9"/>
      <c r="C434" s="9"/>
      <c r="D434" s="9"/>
      <c r="E434" s="9"/>
      <c r="F434" s="9"/>
      <c r="G434" s="9"/>
    </row>
    <row r="435">
      <c r="A435" s="8"/>
      <c r="B435" s="9"/>
      <c r="C435" s="9"/>
      <c r="D435" s="9"/>
      <c r="E435" s="9"/>
      <c r="F435" s="9"/>
      <c r="G435" s="9"/>
    </row>
    <row r="436">
      <c r="A436" s="8"/>
      <c r="B436" s="9"/>
      <c r="C436" s="9"/>
      <c r="D436" s="9"/>
      <c r="E436" s="9"/>
      <c r="F436" s="9"/>
      <c r="G436" s="9"/>
    </row>
    <row r="437">
      <c r="A437" s="8"/>
      <c r="B437" s="9"/>
      <c r="C437" s="9"/>
      <c r="D437" s="9"/>
      <c r="E437" s="9"/>
      <c r="F437" s="9"/>
      <c r="G437" s="9"/>
    </row>
    <row r="438">
      <c r="A438" s="8"/>
      <c r="B438" s="9"/>
      <c r="C438" s="9"/>
      <c r="D438" s="9"/>
      <c r="E438" s="9"/>
      <c r="F438" s="9"/>
      <c r="G438" s="9"/>
    </row>
    <row r="439">
      <c r="A439" s="8"/>
      <c r="B439" s="9"/>
      <c r="C439" s="9"/>
      <c r="D439" s="9"/>
      <c r="E439" s="9"/>
      <c r="F439" s="9"/>
      <c r="G439" s="9"/>
    </row>
    <row r="440">
      <c r="A440" s="8"/>
      <c r="B440" s="9"/>
      <c r="C440" s="9"/>
      <c r="D440" s="9"/>
      <c r="E440" s="9"/>
      <c r="F440" s="9"/>
      <c r="G440" s="9"/>
    </row>
    <row r="441">
      <c r="A441" s="8"/>
      <c r="B441" s="9"/>
      <c r="C441" s="9"/>
      <c r="D441" s="9"/>
      <c r="E441" s="9"/>
      <c r="F441" s="9"/>
      <c r="G441" s="9"/>
    </row>
    <row r="442">
      <c r="A442" s="8"/>
      <c r="B442" s="9"/>
      <c r="C442" s="9"/>
      <c r="D442" s="9"/>
      <c r="E442" s="9"/>
      <c r="F442" s="9"/>
      <c r="G442" s="9"/>
    </row>
    <row r="443">
      <c r="A443" s="8"/>
      <c r="B443" s="9"/>
      <c r="C443" s="9"/>
      <c r="D443" s="9"/>
      <c r="E443" s="9"/>
      <c r="F443" s="9"/>
      <c r="G443" s="9"/>
    </row>
    <row r="444">
      <c r="A444" s="8"/>
      <c r="B444" s="9"/>
      <c r="C444" s="9"/>
      <c r="D444" s="9"/>
      <c r="E444" s="9"/>
      <c r="F444" s="9"/>
      <c r="G444" s="9"/>
    </row>
    <row r="445">
      <c r="A445" s="8"/>
      <c r="B445" s="9"/>
      <c r="C445" s="9"/>
      <c r="D445" s="9"/>
      <c r="E445" s="9"/>
      <c r="F445" s="9"/>
      <c r="G445" s="9"/>
    </row>
    <row r="446">
      <c r="A446" s="8"/>
      <c r="B446" s="9"/>
      <c r="C446" s="9"/>
      <c r="D446" s="9"/>
      <c r="E446" s="9"/>
      <c r="F446" s="9"/>
      <c r="G446" s="9"/>
    </row>
    <row r="447">
      <c r="A447" s="8"/>
      <c r="B447" s="9"/>
      <c r="C447" s="9"/>
      <c r="D447" s="9"/>
      <c r="E447" s="9"/>
      <c r="F447" s="9"/>
      <c r="G447" s="9"/>
    </row>
    <row r="448">
      <c r="A448" s="8"/>
      <c r="B448" s="9"/>
      <c r="C448" s="9"/>
      <c r="D448" s="9"/>
      <c r="E448" s="9"/>
      <c r="F448" s="9"/>
      <c r="G448" s="9"/>
    </row>
    <row r="449">
      <c r="A449" s="8"/>
      <c r="B449" s="9"/>
      <c r="C449" s="9"/>
      <c r="D449" s="9"/>
      <c r="E449" s="9"/>
      <c r="F449" s="9"/>
      <c r="G449" s="9"/>
    </row>
    <row r="450">
      <c r="A450" s="8"/>
      <c r="B450" s="9"/>
      <c r="C450" s="9"/>
      <c r="D450" s="9"/>
      <c r="E450" s="9"/>
      <c r="F450" s="9"/>
      <c r="G450" s="9"/>
    </row>
    <row r="451">
      <c r="A451" s="8"/>
      <c r="B451" s="9"/>
      <c r="C451" s="9"/>
      <c r="D451" s="9"/>
      <c r="E451" s="9"/>
      <c r="F451" s="9"/>
      <c r="G451" s="9"/>
    </row>
    <row r="452">
      <c r="A452" s="8"/>
      <c r="B452" s="9"/>
      <c r="C452" s="9"/>
      <c r="D452" s="9"/>
      <c r="E452" s="9"/>
      <c r="F452" s="9"/>
      <c r="G452" s="9"/>
    </row>
    <row r="453">
      <c r="A453" s="8"/>
      <c r="B453" s="9"/>
      <c r="C453" s="9"/>
      <c r="D453" s="9"/>
      <c r="E453" s="9"/>
      <c r="F453" s="9"/>
      <c r="G453" s="9"/>
    </row>
    <row r="454">
      <c r="A454" s="8"/>
      <c r="B454" s="9"/>
      <c r="C454" s="9"/>
      <c r="D454" s="9"/>
      <c r="E454" s="9"/>
      <c r="F454" s="9"/>
      <c r="G454" s="9"/>
    </row>
    <row r="455">
      <c r="A455" s="8"/>
      <c r="B455" s="9"/>
      <c r="C455" s="9"/>
      <c r="D455" s="9"/>
      <c r="E455" s="9"/>
      <c r="F455" s="9"/>
      <c r="G455" s="9"/>
    </row>
    <row r="456">
      <c r="A456" s="8"/>
      <c r="B456" s="9"/>
      <c r="C456" s="9"/>
      <c r="D456" s="9"/>
      <c r="E456" s="9"/>
      <c r="F456" s="9"/>
      <c r="G456" s="9"/>
    </row>
    <row r="457">
      <c r="A457" s="8"/>
      <c r="B457" s="9"/>
      <c r="C457" s="9"/>
      <c r="D457" s="9"/>
      <c r="E457" s="9"/>
      <c r="F457" s="9"/>
      <c r="G457" s="9"/>
    </row>
    <row r="458">
      <c r="A458" s="8"/>
      <c r="B458" s="9"/>
      <c r="C458" s="9"/>
      <c r="D458" s="9"/>
      <c r="E458" s="9"/>
      <c r="F458" s="9"/>
      <c r="G458" s="9"/>
    </row>
    <row r="459">
      <c r="A459" s="8"/>
      <c r="B459" s="9"/>
      <c r="C459" s="9"/>
      <c r="D459" s="9"/>
      <c r="E459" s="9"/>
      <c r="F459" s="9"/>
      <c r="G459" s="9"/>
    </row>
    <row r="460">
      <c r="A460" s="8"/>
      <c r="B460" s="9"/>
      <c r="C460" s="9"/>
      <c r="D460" s="9"/>
      <c r="E460" s="9"/>
      <c r="F460" s="9"/>
      <c r="G460" s="9"/>
    </row>
    <row r="461">
      <c r="A461" s="8"/>
      <c r="B461" s="9"/>
      <c r="C461" s="9"/>
      <c r="D461" s="9"/>
      <c r="E461" s="9"/>
      <c r="F461" s="9"/>
      <c r="G461" s="9"/>
    </row>
    <row r="462">
      <c r="A462" s="8"/>
      <c r="B462" s="9"/>
      <c r="C462" s="9"/>
      <c r="D462" s="9"/>
      <c r="E462" s="9"/>
      <c r="F462" s="9"/>
      <c r="G462" s="9"/>
    </row>
    <row r="463">
      <c r="A463" s="8"/>
      <c r="B463" s="9"/>
      <c r="C463" s="9"/>
      <c r="D463" s="9"/>
      <c r="E463" s="9"/>
      <c r="F463" s="9"/>
      <c r="G463" s="9"/>
    </row>
    <row r="464">
      <c r="A464" s="8"/>
      <c r="B464" s="9"/>
      <c r="C464" s="9"/>
      <c r="D464" s="9"/>
      <c r="E464" s="9"/>
      <c r="F464" s="9"/>
      <c r="G464" s="9"/>
    </row>
    <row r="465">
      <c r="A465" s="8"/>
      <c r="B465" s="9"/>
      <c r="C465" s="9"/>
      <c r="D465" s="9"/>
      <c r="E465" s="9"/>
      <c r="F465" s="9"/>
      <c r="G465" s="9"/>
    </row>
    <row r="466">
      <c r="A466" s="8"/>
      <c r="B466" s="9"/>
      <c r="C466" s="9"/>
      <c r="D466" s="9"/>
      <c r="E466" s="9"/>
      <c r="F466" s="9"/>
      <c r="G466" s="9"/>
    </row>
    <row r="467">
      <c r="A467" s="8"/>
      <c r="B467" s="9"/>
      <c r="C467" s="9"/>
      <c r="D467" s="9"/>
      <c r="E467" s="9"/>
      <c r="F467" s="9"/>
      <c r="G467" s="9"/>
    </row>
    <row r="468">
      <c r="A468" s="8"/>
      <c r="B468" s="9"/>
      <c r="C468" s="9"/>
      <c r="D468" s="9"/>
      <c r="E468" s="9"/>
      <c r="F468" s="9"/>
      <c r="G468" s="9"/>
    </row>
    <row r="469">
      <c r="A469" s="8"/>
      <c r="B469" s="9"/>
      <c r="C469" s="9"/>
      <c r="D469" s="9"/>
      <c r="E469" s="9"/>
      <c r="F469" s="9"/>
      <c r="G469" s="9"/>
    </row>
    <row r="470">
      <c r="A470" s="8"/>
      <c r="B470" s="9"/>
      <c r="C470" s="9"/>
      <c r="D470" s="9"/>
      <c r="E470" s="9"/>
      <c r="F470" s="9"/>
      <c r="G470" s="9"/>
    </row>
    <row r="471">
      <c r="A471" s="8"/>
      <c r="B471" s="9"/>
      <c r="C471" s="9"/>
      <c r="D471" s="9"/>
      <c r="E471" s="9"/>
      <c r="F471" s="9"/>
      <c r="G471" s="9"/>
    </row>
    <row r="472">
      <c r="A472" s="8"/>
      <c r="B472" s="9"/>
      <c r="C472" s="9"/>
      <c r="D472" s="9"/>
      <c r="E472" s="9"/>
      <c r="F472" s="9"/>
      <c r="G472" s="9"/>
    </row>
    <row r="473">
      <c r="A473" s="8"/>
      <c r="B473" s="9"/>
      <c r="C473" s="9"/>
      <c r="D473" s="9"/>
      <c r="E473" s="9"/>
      <c r="F473" s="9"/>
      <c r="G473" s="9"/>
    </row>
    <row r="474">
      <c r="A474" s="8"/>
      <c r="B474" s="9"/>
      <c r="C474" s="9"/>
      <c r="D474" s="9"/>
      <c r="E474" s="9"/>
      <c r="F474" s="9"/>
      <c r="G474" s="9"/>
    </row>
    <row r="475">
      <c r="A475" s="8"/>
      <c r="B475" s="9"/>
      <c r="C475" s="9"/>
      <c r="D475" s="9"/>
      <c r="E475" s="9"/>
      <c r="F475" s="9"/>
      <c r="G475" s="9"/>
    </row>
    <row r="476">
      <c r="A476" s="8"/>
      <c r="B476" s="9"/>
      <c r="C476" s="9"/>
      <c r="D476" s="9"/>
      <c r="E476" s="9"/>
      <c r="F476" s="9"/>
      <c r="G476" s="9"/>
    </row>
    <row r="477">
      <c r="A477" s="8"/>
      <c r="B477" s="9"/>
      <c r="C477" s="9"/>
      <c r="D477" s="9"/>
      <c r="E477" s="9"/>
      <c r="F477" s="9"/>
      <c r="G477" s="9"/>
    </row>
    <row r="478">
      <c r="A478" s="8"/>
      <c r="B478" s="9"/>
      <c r="C478" s="9"/>
      <c r="D478" s="9"/>
      <c r="E478" s="9"/>
      <c r="F478" s="9"/>
      <c r="G478" s="9"/>
    </row>
    <row r="479">
      <c r="A479" s="8"/>
      <c r="B479" s="9"/>
      <c r="C479" s="9"/>
      <c r="D479" s="9"/>
      <c r="E479" s="9"/>
      <c r="F479" s="9"/>
      <c r="G479" s="9"/>
    </row>
    <row r="480">
      <c r="A480" s="8"/>
      <c r="B480" s="9"/>
      <c r="C480" s="9"/>
      <c r="D480" s="9"/>
      <c r="E480" s="9"/>
      <c r="F480" s="9"/>
      <c r="G480" s="9"/>
    </row>
    <row r="481">
      <c r="A481" s="8"/>
      <c r="B481" s="9"/>
      <c r="C481" s="9"/>
      <c r="D481" s="9"/>
      <c r="E481" s="9"/>
      <c r="F481" s="9"/>
      <c r="G481" s="9"/>
    </row>
    <row r="482">
      <c r="A482" s="8"/>
      <c r="B482" s="9"/>
      <c r="C482" s="9"/>
      <c r="D482" s="9"/>
      <c r="E482" s="9"/>
      <c r="F482" s="9"/>
      <c r="G482" s="9"/>
    </row>
    <row r="483">
      <c r="A483" s="8"/>
      <c r="B483" s="9"/>
      <c r="C483" s="9"/>
      <c r="D483" s="9"/>
      <c r="E483" s="9"/>
      <c r="F483" s="9"/>
      <c r="G483" s="9"/>
    </row>
    <row r="484">
      <c r="A484" s="8"/>
      <c r="B484" s="9"/>
      <c r="C484" s="9"/>
      <c r="D484" s="9"/>
      <c r="E484" s="9"/>
      <c r="F484" s="9"/>
      <c r="G484" s="9"/>
    </row>
    <row r="485">
      <c r="A485" s="8"/>
      <c r="B485" s="9"/>
      <c r="C485" s="9"/>
      <c r="D485" s="9"/>
      <c r="E485" s="9"/>
      <c r="F485" s="9"/>
      <c r="G485" s="9"/>
    </row>
    <row r="486">
      <c r="A486" s="8"/>
      <c r="B486" s="9"/>
      <c r="C486" s="9"/>
      <c r="D486" s="9"/>
      <c r="E486" s="9"/>
      <c r="F486" s="9"/>
      <c r="G486" s="9"/>
    </row>
    <row r="487">
      <c r="A487" s="8"/>
      <c r="B487" s="9"/>
      <c r="C487" s="9"/>
      <c r="D487" s="9"/>
      <c r="E487" s="9"/>
      <c r="F487" s="9"/>
      <c r="G487" s="9"/>
    </row>
    <row r="488">
      <c r="A488" s="8"/>
      <c r="B488" s="9"/>
      <c r="C488" s="9"/>
      <c r="D488" s="9"/>
      <c r="E488" s="9"/>
      <c r="F488" s="9"/>
      <c r="G488" s="9"/>
    </row>
    <row r="489">
      <c r="A489" s="8"/>
      <c r="B489" s="9"/>
      <c r="C489" s="9"/>
      <c r="D489" s="9"/>
      <c r="E489" s="9"/>
      <c r="F489" s="9"/>
      <c r="G489" s="9"/>
    </row>
    <row r="490">
      <c r="A490" s="8"/>
      <c r="B490" s="9"/>
      <c r="C490" s="9"/>
      <c r="D490" s="9"/>
      <c r="E490" s="9"/>
      <c r="F490" s="9"/>
      <c r="G490" s="9"/>
    </row>
    <row r="491">
      <c r="A491" s="8"/>
      <c r="B491" s="9"/>
      <c r="C491" s="9"/>
      <c r="D491" s="9"/>
      <c r="E491" s="9"/>
      <c r="F491" s="9"/>
      <c r="G491" s="9"/>
    </row>
    <row r="492">
      <c r="A492" s="8"/>
      <c r="B492" s="9"/>
      <c r="C492" s="9"/>
      <c r="D492" s="9"/>
      <c r="E492" s="9"/>
      <c r="F492" s="9"/>
      <c r="G492" s="9"/>
    </row>
    <row r="493">
      <c r="A493" s="8"/>
      <c r="B493" s="9"/>
      <c r="C493" s="9"/>
      <c r="D493" s="9"/>
      <c r="E493" s="9"/>
      <c r="F493" s="9"/>
      <c r="G493" s="9"/>
    </row>
    <row r="494">
      <c r="A494" s="8"/>
      <c r="B494" s="9"/>
      <c r="C494" s="9"/>
      <c r="D494" s="9"/>
      <c r="E494" s="9"/>
      <c r="F494" s="9"/>
      <c r="G494" s="9"/>
    </row>
    <row r="495">
      <c r="A495" s="8"/>
      <c r="B495" s="9"/>
      <c r="C495" s="9"/>
      <c r="D495" s="9"/>
      <c r="E495" s="9"/>
      <c r="F495" s="9"/>
      <c r="G495" s="9"/>
    </row>
    <row r="496">
      <c r="A496" s="8"/>
      <c r="B496" s="9"/>
      <c r="C496" s="9"/>
      <c r="D496" s="9"/>
      <c r="E496" s="9"/>
      <c r="F496" s="9"/>
      <c r="G496" s="9"/>
    </row>
    <row r="497">
      <c r="A497" s="8"/>
      <c r="B497" s="9"/>
      <c r="C497" s="9"/>
      <c r="D497" s="9"/>
      <c r="E497" s="9"/>
      <c r="F497" s="9"/>
      <c r="G497" s="9"/>
    </row>
    <row r="498">
      <c r="A498" s="8"/>
      <c r="B498" s="9"/>
      <c r="C498" s="9"/>
      <c r="D498" s="9"/>
      <c r="E498" s="9"/>
      <c r="F498" s="9"/>
      <c r="G498" s="9"/>
    </row>
    <row r="499">
      <c r="A499" s="8"/>
      <c r="B499" s="9"/>
      <c r="C499" s="9"/>
      <c r="D499" s="9"/>
      <c r="E499" s="9"/>
      <c r="F499" s="9"/>
      <c r="G499" s="9"/>
    </row>
    <row r="500">
      <c r="A500" s="8"/>
      <c r="B500" s="9"/>
      <c r="C500" s="9"/>
      <c r="D500" s="9"/>
      <c r="E500" s="9"/>
      <c r="F500" s="9"/>
      <c r="G500" s="9"/>
    </row>
    <row r="501">
      <c r="A501" s="8"/>
      <c r="B501" s="9"/>
      <c r="C501" s="9"/>
      <c r="D501" s="9"/>
      <c r="E501" s="9"/>
      <c r="F501" s="9"/>
      <c r="G501" s="9"/>
    </row>
    <row r="502">
      <c r="A502" s="8"/>
      <c r="B502" s="9"/>
      <c r="C502" s="9"/>
      <c r="D502" s="9"/>
      <c r="E502" s="9"/>
      <c r="F502" s="9"/>
      <c r="G502" s="9"/>
    </row>
    <row r="503">
      <c r="A503" s="8"/>
      <c r="B503" s="9"/>
      <c r="C503" s="9"/>
      <c r="D503" s="9"/>
      <c r="E503" s="9"/>
      <c r="F503" s="9"/>
      <c r="G503" s="9"/>
    </row>
    <row r="504">
      <c r="A504" s="8"/>
      <c r="B504" s="9"/>
      <c r="C504" s="9"/>
      <c r="D504" s="9"/>
      <c r="E504" s="9"/>
      <c r="F504" s="9"/>
      <c r="G504" s="9"/>
    </row>
    <row r="505">
      <c r="A505" s="8"/>
      <c r="B505" s="9"/>
      <c r="C505" s="9"/>
      <c r="D505" s="9"/>
      <c r="E505" s="9"/>
      <c r="F505" s="9"/>
      <c r="G505" s="9"/>
    </row>
    <row r="506">
      <c r="A506" s="8"/>
      <c r="B506" s="9"/>
      <c r="C506" s="9"/>
      <c r="D506" s="9"/>
      <c r="E506" s="9"/>
      <c r="F506" s="9"/>
      <c r="G506" s="9"/>
    </row>
    <row r="507">
      <c r="A507" s="8"/>
      <c r="B507" s="9"/>
      <c r="C507" s="9"/>
      <c r="D507" s="9"/>
      <c r="E507" s="9"/>
      <c r="F507" s="9"/>
      <c r="G507" s="9"/>
    </row>
    <row r="508">
      <c r="A508" s="8"/>
      <c r="B508" s="9"/>
      <c r="C508" s="9"/>
      <c r="D508" s="9"/>
      <c r="E508" s="9"/>
      <c r="F508" s="9"/>
      <c r="G508" s="9"/>
    </row>
    <row r="509">
      <c r="A509" s="8"/>
      <c r="B509" s="9"/>
      <c r="C509" s="9"/>
      <c r="D509" s="9"/>
      <c r="E509" s="9"/>
      <c r="F509" s="9"/>
      <c r="G509" s="9"/>
    </row>
    <row r="510">
      <c r="A510" s="8"/>
      <c r="B510" s="9"/>
      <c r="C510" s="9"/>
      <c r="D510" s="9"/>
      <c r="E510" s="9"/>
      <c r="F510" s="9"/>
      <c r="G510" s="9"/>
    </row>
    <row r="511">
      <c r="A511" s="8"/>
      <c r="B511" s="9"/>
      <c r="C511" s="9"/>
      <c r="D511" s="9"/>
      <c r="E511" s="9"/>
      <c r="F511" s="9"/>
      <c r="G511" s="9"/>
    </row>
    <row r="512">
      <c r="A512" s="8"/>
      <c r="B512" s="9"/>
      <c r="C512" s="9"/>
      <c r="D512" s="9"/>
      <c r="E512" s="9"/>
      <c r="F512" s="9"/>
      <c r="G512" s="9"/>
    </row>
    <row r="513">
      <c r="A513" s="8"/>
      <c r="B513" s="9"/>
      <c r="C513" s="9"/>
      <c r="D513" s="9"/>
      <c r="E513" s="9"/>
      <c r="F513" s="9"/>
      <c r="G513" s="9"/>
    </row>
    <row r="514">
      <c r="A514" s="8"/>
      <c r="B514" s="9"/>
      <c r="C514" s="9"/>
      <c r="D514" s="9"/>
      <c r="E514" s="9"/>
      <c r="F514" s="9"/>
      <c r="G514" s="9"/>
    </row>
    <row r="515">
      <c r="A515" s="8"/>
      <c r="B515" s="9"/>
      <c r="C515" s="9"/>
      <c r="D515" s="9"/>
      <c r="E515" s="9"/>
      <c r="F515" s="9"/>
      <c r="G515" s="9"/>
    </row>
    <row r="516">
      <c r="A516" s="8"/>
      <c r="B516" s="9"/>
      <c r="C516" s="9"/>
      <c r="D516" s="9"/>
      <c r="E516" s="9"/>
      <c r="F516" s="9"/>
      <c r="G516" s="9"/>
    </row>
    <row r="517">
      <c r="A517" s="8"/>
      <c r="B517" s="9"/>
      <c r="C517" s="9"/>
      <c r="D517" s="9"/>
      <c r="E517" s="9"/>
      <c r="F517" s="9"/>
      <c r="G517" s="9"/>
    </row>
    <row r="518">
      <c r="A518" s="8"/>
      <c r="B518" s="9"/>
      <c r="C518" s="9"/>
      <c r="D518" s="9"/>
      <c r="E518" s="9"/>
      <c r="F518" s="9"/>
      <c r="G518" s="9"/>
    </row>
    <row r="519">
      <c r="A519" s="8"/>
      <c r="B519" s="9"/>
      <c r="C519" s="9"/>
      <c r="D519" s="9"/>
      <c r="E519" s="9"/>
      <c r="F519" s="9"/>
      <c r="G519" s="9"/>
    </row>
    <row r="520">
      <c r="A520" s="8"/>
      <c r="B520" s="9"/>
      <c r="C520" s="9"/>
      <c r="D520" s="9"/>
      <c r="E520" s="9"/>
      <c r="F520" s="9"/>
      <c r="G520" s="9"/>
    </row>
    <row r="521">
      <c r="A521" s="8"/>
      <c r="B521" s="9"/>
      <c r="C521" s="9"/>
      <c r="D521" s="9"/>
      <c r="E521" s="9"/>
      <c r="F521" s="9"/>
      <c r="G521" s="9"/>
    </row>
    <row r="522">
      <c r="A522" s="8"/>
      <c r="B522" s="9"/>
      <c r="C522" s="9"/>
      <c r="D522" s="9"/>
      <c r="E522" s="9"/>
      <c r="F522" s="9"/>
      <c r="G522" s="9"/>
    </row>
    <row r="523">
      <c r="A523" s="8"/>
      <c r="B523" s="9"/>
      <c r="C523" s="9"/>
      <c r="D523" s="9"/>
      <c r="E523" s="9"/>
      <c r="F523" s="9"/>
      <c r="G523" s="9"/>
    </row>
    <row r="524">
      <c r="A524" s="8"/>
      <c r="B524" s="9"/>
      <c r="C524" s="9"/>
      <c r="D524" s="9"/>
      <c r="E524" s="9"/>
      <c r="F524" s="9"/>
      <c r="G524" s="9"/>
    </row>
    <row r="525">
      <c r="A525" s="8"/>
      <c r="B525" s="9"/>
      <c r="C525" s="9"/>
      <c r="D525" s="9"/>
      <c r="E525" s="9"/>
      <c r="F525" s="9"/>
      <c r="G525" s="9"/>
    </row>
    <row r="526">
      <c r="A526" s="8"/>
      <c r="B526" s="9"/>
      <c r="C526" s="9"/>
      <c r="D526" s="9"/>
      <c r="E526" s="9"/>
      <c r="F526" s="9"/>
      <c r="G526" s="9"/>
    </row>
    <row r="527">
      <c r="A527" s="8"/>
      <c r="B527" s="9"/>
      <c r="C527" s="9"/>
      <c r="D527" s="9"/>
      <c r="E527" s="9"/>
      <c r="F527" s="9"/>
      <c r="G527" s="9"/>
    </row>
    <row r="528">
      <c r="A528" s="8"/>
      <c r="B528" s="9"/>
      <c r="C528" s="9"/>
      <c r="D528" s="9"/>
      <c r="E528" s="9"/>
      <c r="F528" s="9"/>
      <c r="G528" s="9"/>
    </row>
    <row r="529">
      <c r="A529" s="8"/>
      <c r="B529" s="9"/>
      <c r="C529" s="9"/>
      <c r="D529" s="9"/>
      <c r="E529" s="9"/>
      <c r="F529" s="9"/>
      <c r="G529" s="9"/>
    </row>
    <row r="530">
      <c r="A530" s="8"/>
      <c r="B530" s="9"/>
      <c r="C530" s="9"/>
      <c r="D530" s="9"/>
      <c r="E530" s="9"/>
      <c r="F530" s="9"/>
      <c r="G530" s="9"/>
    </row>
    <row r="531">
      <c r="A531" s="8"/>
      <c r="B531" s="9"/>
      <c r="C531" s="9"/>
      <c r="D531" s="9"/>
      <c r="E531" s="9"/>
      <c r="F531" s="9"/>
      <c r="G531" s="9"/>
    </row>
    <row r="532">
      <c r="A532" s="8"/>
      <c r="B532" s="9"/>
      <c r="C532" s="9"/>
      <c r="D532" s="9"/>
      <c r="E532" s="9"/>
      <c r="F532" s="9"/>
      <c r="G532" s="9"/>
    </row>
    <row r="533">
      <c r="A533" s="8"/>
      <c r="B533" s="9"/>
      <c r="C533" s="9"/>
      <c r="D533" s="9"/>
      <c r="E533" s="9"/>
      <c r="F533" s="9"/>
      <c r="G533" s="9"/>
    </row>
    <row r="534">
      <c r="A534" s="8"/>
      <c r="B534" s="9"/>
      <c r="C534" s="9"/>
      <c r="D534" s="9"/>
      <c r="E534" s="9"/>
      <c r="F534" s="9"/>
      <c r="G534" s="9"/>
    </row>
    <row r="535">
      <c r="A535" s="8"/>
      <c r="B535" s="9"/>
      <c r="C535" s="9"/>
      <c r="D535" s="9"/>
      <c r="E535" s="9"/>
      <c r="F535" s="9"/>
      <c r="G535" s="9"/>
    </row>
    <row r="536">
      <c r="A536" s="8"/>
      <c r="B536" s="9"/>
      <c r="C536" s="9"/>
      <c r="D536" s="9"/>
      <c r="E536" s="9"/>
      <c r="F536" s="9"/>
      <c r="G536" s="9"/>
    </row>
    <row r="537">
      <c r="A537" s="8"/>
      <c r="B537" s="9"/>
      <c r="C537" s="9"/>
      <c r="D537" s="9"/>
      <c r="E537" s="9"/>
      <c r="F537" s="9"/>
      <c r="G537" s="9"/>
    </row>
    <row r="538">
      <c r="A538" s="8"/>
      <c r="B538" s="9"/>
      <c r="C538" s="9"/>
      <c r="D538" s="9"/>
      <c r="E538" s="9"/>
      <c r="F538" s="9"/>
      <c r="G538" s="9"/>
    </row>
    <row r="539">
      <c r="A539" s="8"/>
      <c r="B539" s="9"/>
      <c r="C539" s="9"/>
      <c r="D539" s="9"/>
      <c r="E539" s="9"/>
      <c r="F539" s="9"/>
      <c r="G539" s="9"/>
    </row>
    <row r="540">
      <c r="A540" s="8"/>
      <c r="B540" s="9"/>
      <c r="C540" s="9"/>
      <c r="D540" s="9"/>
      <c r="E540" s="9"/>
      <c r="F540" s="9"/>
      <c r="G540" s="9"/>
    </row>
    <row r="541">
      <c r="A541" s="8"/>
      <c r="B541" s="9"/>
      <c r="C541" s="9"/>
      <c r="D541" s="9"/>
      <c r="E541" s="9"/>
      <c r="F541" s="9"/>
      <c r="G541" s="9"/>
    </row>
    <row r="542">
      <c r="A542" s="8"/>
      <c r="B542" s="9"/>
      <c r="C542" s="9"/>
      <c r="D542" s="9"/>
      <c r="E542" s="9"/>
      <c r="F542" s="9"/>
      <c r="G542" s="9"/>
    </row>
    <row r="543">
      <c r="A543" s="8"/>
      <c r="B543" s="9"/>
      <c r="C543" s="9"/>
      <c r="D543" s="9"/>
      <c r="E543" s="9"/>
      <c r="F543" s="9"/>
      <c r="G543" s="9"/>
    </row>
    <row r="544">
      <c r="A544" s="8"/>
      <c r="B544" s="9"/>
      <c r="C544" s="9"/>
      <c r="D544" s="9"/>
      <c r="E544" s="9"/>
      <c r="F544" s="9"/>
      <c r="G544" s="9"/>
    </row>
    <row r="545">
      <c r="A545" s="8"/>
      <c r="B545" s="9"/>
      <c r="C545" s="9"/>
      <c r="D545" s="9"/>
      <c r="E545" s="9"/>
      <c r="F545" s="9"/>
      <c r="G545" s="9"/>
    </row>
    <row r="546">
      <c r="A546" s="8"/>
      <c r="B546" s="9"/>
      <c r="C546" s="9"/>
      <c r="D546" s="9"/>
      <c r="E546" s="9"/>
      <c r="F546" s="9"/>
      <c r="G546" s="9"/>
    </row>
    <row r="547">
      <c r="A547" s="8"/>
      <c r="B547" s="9"/>
      <c r="C547" s="9"/>
      <c r="D547" s="9"/>
      <c r="E547" s="9"/>
      <c r="F547" s="9"/>
      <c r="G547" s="9"/>
    </row>
    <row r="548">
      <c r="A548" s="8"/>
      <c r="B548" s="9"/>
      <c r="C548" s="9"/>
      <c r="D548" s="9"/>
      <c r="E548" s="9"/>
      <c r="F548" s="9"/>
      <c r="G548" s="9"/>
    </row>
    <row r="549">
      <c r="A549" s="8"/>
      <c r="B549" s="9"/>
      <c r="C549" s="9"/>
      <c r="D549" s="9"/>
      <c r="E549" s="9"/>
      <c r="F549" s="9"/>
      <c r="G549" s="9"/>
    </row>
    <row r="550">
      <c r="A550" s="8"/>
      <c r="B550" s="9"/>
      <c r="C550" s="9"/>
      <c r="D550" s="9"/>
      <c r="E550" s="9"/>
      <c r="F550" s="9"/>
      <c r="G550" s="9"/>
    </row>
    <row r="551">
      <c r="A551" s="8"/>
      <c r="B551" s="9"/>
      <c r="C551" s="9"/>
      <c r="D551" s="9"/>
      <c r="E551" s="9"/>
      <c r="F551" s="9"/>
      <c r="G551" s="9"/>
    </row>
    <row r="552">
      <c r="A552" s="8"/>
      <c r="B552" s="9"/>
      <c r="C552" s="9"/>
      <c r="D552" s="9"/>
      <c r="E552" s="9"/>
      <c r="F552" s="9"/>
      <c r="G552" s="9"/>
    </row>
    <row r="553">
      <c r="A553" s="8"/>
      <c r="B553" s="9"/>
      <c r="C553" s="9"/>
      <c r="D553" s="9"/>
      <c r="E553" s="9"/>
      <c r="F553" s="9"/>
      <c r="G553" s="9"/>
    </row>
    <row r="554">
      <c r="A554" s="8"/>
      <c r="B554" s="9"/>
      <c r="C554" s="9"/>
      <c r="D554" s="9"/>
      <c r="E554" s="9"/>
      <c r="F554" s="9"/>
      <c r="G554" s="9"/>
    </row>
    <row r="555">
      <c r="A555" s="8"/>
      <c r="B555" s="9"/>
      <c r="C555" s="9"/>
      <c r="D555" s="9"/>
      <c r="E555" s="9"/>
      <c r="F555" s="9"/>
      <c r="G555" s="9"/>
    </row>
    <row r="556">
      <c r="A556" s="8"/>
      <c r="B556" s="9"/>
      <c r="C556" s="9"/>
      <c r="D556" s="9"/>
      <c r="E556" s="9"/>
      <c r="F556" s="9"/>
      <c r="G556" s="9"/>
    </row>
    <row r="557">
      <c r="A557" s="8"/>
      <c r="B557" s="9"/>
      <c r="C557" s="9"/>
      <c r="D557" s="9"/>
      <c r="E557" s="9"/>
      <c r="F557" s="9"/>
      <c r="G557" s="9"/>
    </row>
    <row r="558">
      <c r="A558" s="8"/>
      <c r="B558" s="9"/>
      <c r="C558" s="9"/>
      <c r="D558" s="9"/>
      <c r="E558" s="9"/>
      <c r="F558" s="9"/>
      <c r="G558" s="9"/>
    </row>
    <row r="559">
      <c r="A559" s="8"/>
      <c r="B559" s="9"/>
      <c r="C559" s="9"/>
      <c r="D559" s="9"/>
      <c r="E559" s="9"/>
      <c r="F559" s="9"/>
      <c r="G559" s="9"/>
    </row>
    <row r="560">
      <c r="A560" s="8"/>
      <c r="B560" s="9"/>
      <c r="C560" s="9"/>
      <c r="D560" s="9"/>
      <c r="E560" s="9"/>
      <c r="F560" s="9"/>
      <c r="G560" s="9"/>
    </row>
    <row r="561">
      <c r="A561" s="8"/>
      <c r="B561" s="9"/>
      <c r="C561" s="9"/>
      <c r="D561" s="9"/>
      <c r="E561" s="9"/>
      <c r="F561" s="9"/>
      <c r="G561" s="9"/>
    </row>
    <row r="562">
      <c r="A562" s="8"/>
      <c r="B562" s="9"/>
      <c r="C562" s="9"/>
      <c r="D562" s="9"/>
      <c r="E562" s="9"/>
      <c r="F562" s="9"/>
      <c r="G562" s="9"/>
    </row>
    <row r="563">
      <c r="A563" s="8"/>
      <c r="B563" s="9"/>
      <c r="C563" s="9"/>
      <c r="D563" s="9"/>
      <c r="E563" s="9"/>
      <c r="F563" s="9"/>
      <c r="G563" s="9"/>
    </row>
    <row r="564">
      <c r="A564" s="8"/>
      <c r="B564" s="9"/>
      <c r="C564" s="9"/>
      <c r="D564" s="9"/>
      <c r="E564" s="9"/>
      <c r="F564" s="9"/>
      <c r="G564" s="9"/>
    </row>
    <row r="565">
      <c r="A565" s="8"/>
      <c r="B565" s="9"/>
      <c r="C565" s="9"/>
      <c r="D565" s="9"/>
      <c r="E565" s="9"/>
      <c r="F565" s="9"/>
      <c r="G565" s="9"/>
    </row>
    <row r="566">
      <c r="A566" s="8"/>
      <c r="B566" s="9"/>
      <c r="C566" s="9"/>
      <c r="D566" s="9"/>
      <c r="E566" s="9"/>
      <c r="F566" s="9"/>
      <c r="G566" s="9"/>
    </row>
    <row r="567">
      <c r="A567" s="8"/>
      <c r="B567" s="9"/>
      <c r="C567" s="9"/>
      <c r="D567" s="9"/>
      <c r="E567" s="9"/>
      <c r="F567" s="9"/>
      <c r="G567" s="9"/>
    </row>
    <row r="568">
      <c r="A568" s="8"/>
      <c r="B568" s="9"/>
      <c r="C568" s="9"/>
      <c r="D568" s="9"/>
      <c r="E568" s="9"/>
      <c r="F568" s="9"/>
      <c r="G568" s="9"/>
    </row>
    <row r="569">
      <c r="A569" s="8"/>
      <c r="B569" s="9"/>
      <c r="C569" s="9"/>
      <c r="D569" s="9"/>
      <c r="E569" s="9"/>
      <c r="F569" s="9"/>
      <c r="G569" s="9"/>
    </row>
    <row r="570">
      <c r="A570" s="8"/>
      <c r="B570" s="9"/>
      <c r="C570" s="9"/>
      <c r="D570" s="9"/>
      <c r="E570" s="9"/>
      <c r="F570" s="9"/>
      <c r="G570" s="9"/>
    </row>
    <row r="571">
      <c r="A571" s="8"/>
      <c r="B571" s="9"/>
      <c r="C571" s="9"/>
      <c r="D571" s="9"/>
      <c r="E571" s="9"/>
      <c r="F571" s="9"/>
      <c r="G571" s="9"/>
    </row>
    <row r="572">
      <c r="A572" s="8"/>
      <c r="B572" s="9"/>
      <c r="C572" s="9"/>
      <c r="D572" s="9"/>
      <c r="E572" s="9"/>
      <c r="F572" s="9"/>
      <c r="G572" s="9"/>
    </row>
    <row r="573">
      <c r="A573" s="8"/>
      <c r="B573" s="9"/>
      <c r="C573" s="9"/>
      <c r="D573" s="9"/>
      <c r="E573" s="9"/>
      <c r="F573" s="9"/>
      <c r="G573" s="9"/>
    </row>
    <row r="574">
      <c r="A574" s="8"/>
      <c r="B574" s="9"/>
      <c r="C574" s="9"/>
      <c r="D574" s="9"/>
      <c r="E574" s="9"/>
      <c r="F574" s="9"/>
      <c r="G574" s="9"/>
    </row>
    <row r="575">
      <c r="A575" s="8"/>
      <c r="B575" s="9"/>
      <c r="C575" s="9"/>
      <c r="D575" s="9"/>
      <c r="E575" s="9"/>
      <c r="F575" s="9"/>
      <c r="G575" s="9"/>
    </row>
    <row r="576">
      <c r="A576" s="8"/>
      <c r="B576" s="9"/>
      <c r="C576" s="9"/>
      <c r="D576" s="9"/>
      <c r="E576" s="9"/>
      <c r="F576" s="9"/>
      <c r="G576" s="9"/>
    </row>
    <row r="577">
      <c r="A577" s="8"/>
      <c r="B577" s="9"/>
      <c r="C577" s="9"/>
      <c r="D577" s="9"/>
      <c r="E577" s="9"/>
      <c r="F577" s="9"/>
      <c r="G577" s="9"/>
    </row>
    <row r="578">
      <c r="A578" s="8"/>
      <c r="B578" s="9"/>
      <c r="C578" s="9"/>
      <c r="D578" s="9"/>
      <c r="E578" s="9"/>
      <c r="F578" s="9"/>
      <c r="G578" s="9"/>
    </row>
    <row r="579">
      <c r="A579" s="8"/>
      <c r="B579" s="9"/>
      <c r="C579" s="9"/>
      <c r="D579" s="9"/>
      <c r="E579" s="9"/>
      <c r="F579" s="9"/>
      <c r="G579" s="9"/>
    </row>
    <row r="580">
      <c r="A580" s="8"/>
      <c r="B580" s="9"/>
      <c r="C580" s="9"/>
      <c r="D580" s="9"/>
      <c r="E580" s="9"/>
      <c r="F580" s="9"/>
      <c r="G580" s="9"/>
    </row>
    <row r="581">
      <c r="A581" s="8"/>
      <c r="B581" s="9"/>
      <c r="C581" s="9"/>
      <c r="D581" s="9"/>
      <c r="E581" s="9"/>
      <c r="F581" s="9"/>
      <c r="G581" s="9"/>
    </row>
    <row r="582">
      <c r="A582" s="8"/>
      <c r="B582" s="9"/>
      <c r="C582" s="9"/>
      <c r="D582" s="9"/>
      <c r="E582" s="9"/>
      <c r="F582" s="9"/>
      <c r="G582" s="9"/>
    </row>
    <row r="583">
      <c r="A583" s="8"/>
      <c r="B583" s="9"/>
      <c r="C583" s="9"/>
      <c r="D583" s="9"/>
      <c r="E583" s="9"/>
      <c r="F583" s="9"/>
      <c r="G583" s="9"/>
    </row>
    <row r="584">
      <c r="A584" s="8"/>
      <c r="B584" s="9"/>
      <c r="C584" s="9"/>
      <c r="D584" s="9"/>
      <c r="E584" s="9"/>
      <c r="F584" s="9"/>
      <c r="G584" s="9"/>
    </row>
    <row r="585">
      <c r="A585" s="8"/>
      <c r="B585" s="9"/>
      <c r="C585" s="9"/>
      <c r="D585" s="9"/>
      <c r="E585" s="9"/>
      <c r="F585" s="9"/>
      <c r="G585" s="9"/>
    </row>
    <row r="586">
      <c r="A586" s="8"/>
      <c r="B586" s="9"/>
      <c r="C586" s="9"/>
      <c r="D586" s="9"/>
      <c r="E586" s="9"/>
      <c r="F586" s="9"/>
      <c r="G586" s="9"/>
    </row>
    <row r="587">
      <c r="A587" s="8"/>
      <c r="B587" s="9"/>
      <c r="C587" s="9"/>
      <c r="D587" s="9"/>
      <c r="E587" s="9"/>
      <c r="F587" s="9"/>
      <c r="G587" s="9"/>
    </row>
    <row r="588">
      <c r="A588" s="8"/>
      <c r="B588" s="9"/>
      <c r="C588" s="9"/>
      <c r="D588" s="9"/>
      <c r="E588" s="9"/>
      <c r="F588" s="9"/>
      <c r="G588" s="9"/>
    </row>
    <row r="589">
      <c r="A589" s="8"/>
      <c r="B589" s="9"/>
      <c r="C589" s="9"/>
      <c r="D589" s="9"/>
      <c r="E589" s="9"/>
      <c r="F589" s="9"/>
      <c r="G589" s="9"/>
    </row>
    <row r="590">
      <c r="A590" s="8"/>
      <c r="B590" s="9"/>
      <c r="C590" s="9"/>
      <c r="D590" s="9"/>
      <c r="E590" s="9"/>
      <c r="F590" s="9"/>
      <c r="G590" s="9"/>
    </row>
    <row r="591">
      <c r="A591" s="8"/>
      <c r="B591" s="9"/>
      <c r="C591" s="9"/>
      <c r="D591" s="9"/>
      <c r="E591" s="9"/>
      <c r="F591" s="9"/>
      <c r="G591" s="9"/>
    </row>
    <row r="592">
      <c r="A592" s="8"/>
      <c r="B592" s="9"/>
      <c r="C592" s="9"/>
      <c r="D592" s="9"/>
      <c r="E592" s="9"/>
      <c r="F592" s="9"/>
      <c r="G592" s="9"/>
    </row>
    <row r="593">
      <c r="A593" s="8"/>
      <c r="B593" s="9"/>
      <c r="C593" s="9"/>
      <c r="D593" s="9"/>
      <c r="E593" s="9"/>
      <c r="F593" s="9"/>
      <c r="G593" s="9"/>
    </row>
    <row r="594">
      <c r="A594" s="8"/>
      <c r="B594" s="9"/>
      <c r="C594" s="9"/>
      <c r="D594" s="9"/>
      <c r="E594" s="9"/>
      <c r="F594" s="9"/>
      <c r="G594" s="9"/>
    </row>
    <row r="595">
      <c r="A595" s="8"/>
      <c r="B595" s="9"/>
      <c r="C595" s="9"/>
      <c r="D595" s="9"/>
      <c r="E595" s="9"/>
      <c r="F595" s="9"/>
      <c r="G595" s="9"/>
    </row>
    <row r="596">
      <c r="A596" s="8"/>
      <c r="B596" s="9"/>
      <c r="C596" s="9"/>
      <c r="D596" s="9"/>
      <c r="E596" s="9"/>
      <c r="F596" s="9"/>
      <c r="G596" s="9"/>
    </row>
    <row r="597">
      <c r="A597" s="8"/>
      <c r="B597" s="9"/>
      <c r="C597" s="9"/>
      <c r="D597" s="9"/>
      <c r="E597" s="9"/>
      <c r="F597" s="9"/>
      <c r="G597" s="9"/>
    </row>
    <row r="598">
      <c r="A598" s="8"/>
      <c r="B598" s="9"/>
      <c r="C598" s="9"/>
      <c r="D598" s="9"/>
      <c r="E598" s="9"/>
      <c r="F598" s="9"/>
      <c r="G598" s="9"/>
    </row>
    <row r="599">
      <c r="A599" s="8"/>
      <c r="B599" s="9"/>
      <c r="C599" s="9"/>
      <c r="D599" s="9"/>
      <c r="E599" s="9"/>
      <c r="F599" s="9"/>
      <c r="G599" s="9"/>
    </row>
    <row r="600">
      <c r="A600" s="8"/>
      <c r="B600" s="9"/>
      <c r="C600" s="9"/>
      <c r="D600" s="9"/>
      <c r="E600" s="9"/>
      <c r="F600" s="9"/>
      <c r="G600" s="9"/>
    </row>
    <row r="601">
      <c r="A601" s="8"/>
      <c r="B601" s="9"/>
      <c r="C601" s="9"/>
      <c r="D601" s="9"/>
      <c r="E601" s="9"/>
      <c r="F601" s="9"/>
      <c r="G601" s="9"/>
    </row>
    <row r="602">
      <c r="A602" s="8"/>
      <c r="B602" s="9"/>
      <c r="C602" s="9"/>
      <c r="D602" s="9"/>
      <c r="E602" s="9"/>
      <c r="F602" s="9"/>
      <c r="G602" s="9"/>
    </row>
    <row r="603">
      <c r="A603" s="8"/>
      <c r="B603" s="9"/>
      <c r="C603" s="9"/>
      <c r="D603" s="9"/>
      <c r="E603" s="9"/>
      <c r="F603" s="9"/>
      <c r="G603" s="9"/>
    </row>
    <row r="604">
      <c r="A604" s="8"/>
      <c r="B604" s="9"/>
      <c r="C604" s="9"/>
      <c r="D604" s="9"/>
      <c r="E604" s="9"/>
      <c r="F604" s="9"/>
      <c r="G604" s="9"/>
    </row>
    <row r="605">
      <c r="A605" s="8"/>
      <c r="B605" s="9"/>
      <c r="C605" s="9"/>
      <c r="D605" s="9"/>
      <c r="E605" s="9"/>
      <c r="F605" s="9"/>
      <c r="G605" s="9"/>
    </row>
    <row r="606">
      <c r="A606" s="8"/>
      <c r="B606" s="9"/>
      <c r="C606" s="9"/>
      <c r="D606" s="9"/>
      <c r="E606" s="9"/>
      <c r="F606" s="9"/>
      <c r="G606" s="9"/>
    </row>
    <row r="607">
      <c r="A607" s="8"/>
      <c r="B607" s="9"/>
      <c r="C607" s="9"/>
      <c r="D607" s="9"/>
      <c r="E607" s="9"/>
      <c r="F607" s="9"/>
      <c r="G607" s="9"/>
    </row>
    <row r="608">
      <c r="A608" s="8"/>
      <c r="B608" s="9"/>
      <c r="C608" s="9"/>
      <c r="D608" s="9"/>
      <c r="E608" s="9"/>
      <c r="F608" s="9"/>
      <c r="G608" s="9"/>
    </row>
    <row r="609">
      <c r="A609" s="8"/>
      <c r="B609" s="9"/>
      <c r="C609" s="9"/>
      <c r="D609" s="9"/>
      <c r="E609" s="9"/>
      <c r="F609" s="9"/>
      <c r="G609" s="9"/>
    </row>
    <row r="610">
      <c r="A610" s="8"/>
      <c r="B610" s="9"/>
      <c r="C610" s="9"/>
      <c r="D610" s="9"/>
      <c r="E610" s="9"/>
      <c r="F610" s="9"/>
      <c r="G610" s="9"/>
    </row>
    <row r="611">
      <c r="A611" s="8"/>
      <c r="B611" s="9"/>
      <c r="C611" s="9"/>
      <c r="D611" s="9"/>
      <c r="E611" s="9"/>
      <c r="F611" s="9"/>
      <c r="G611" s="9"/>
    </row>
    <row r="612">
      <c r="A612" s="8"/>
      <c r="B612" s="9"/>
      <c r="C612" s="9"/>
      <c r="D612" s="9"/>
      <c r="E612" s="9"/>
      <c r="F612" s="9"/>
      <c r="G612" s="9"/>
    </row>
    <row r="613">
      <c r="A613" s="8"/>
      <c r="B613" s="9"/>
      <c r="C613" s="9"/>
      <c r="D613" s="9"/>
      <c r="E613" s="9"/>
      <c r="F613" s="9"/>
      <c r="G613" s="9"/>
    </row>
    <row r="614">
      <c r="A614" s="8"/>
      <c r="B614" s="9"/>
      <c r="C614" s="9"/>
      <c r="D614" s="9"/>
      <c r="E614" s="9"/>
      <c r="F614" s="9"/>
      <c r="G614" s="9"/>
    </row>
    <row r="615">
      <c r="A615" s="8"/>
      <c r="B615" s="9"/>
      <c r="C615" s="9"/>
      <c r="D615" s="9"/>
      <c r="E615" s="9"/>
      <c r="F615" s="9"/>
      <c r="G615" s="9"/>
    </row>
    <row r="616">
      <c r="A616" s="8"/>
      <c r="B616" s="9"/>
      <c r="C616" s="9"/>
      <c r="D616" s="9"/>
      <c r="E616" s="9"/>
      <c r="F616" s="9"/>
      <c r="G616" s="9"/>
    </row>
    <row r="617">
      <c r="A617" s="8"/>
      <c r="B617" s="9"/>
      <c r="C617" s="9"/>
      <c r="D617" s="9"/>
      <c r="E617" s="9"/>
      <c r="F617" s="9"/>
      <c r="G617" s="9"/>
    </row>
    <row r="618">
      <c r="A618" s="8"/>
      <c r="B618" s="9"/>
      <c r="C618" s="9"/>
      <c r="D618" s="9"/>
      <c r="E618" s="9"/>
      <c r="F618" s="9"/>
      <c r="G618" s="9"/>
    </row>
    <row r="619">
      <c r="A619" s="8"/>
      <c r="B619" s="9"/>
      <c r="C619" s="9"/>
      <c r="D619" s="9"/>
      <c r="E619" s="9"/>
      <c r="F619" s="9"/>
      <c r="G619" s="9"/>
    </row>
    <row r="620">
      <c r="A620" s="8"/>
      <c r="B620" s="9"/>
      <c r="C620" s="9"/>
      <c r="D620" s="9"/>
      <c r="E620" s="9"/>
      <c r="F620" s="9"/>
      <c r="G620" s="9"/>
    </row>
    <row r="621">
      <c r="A621" s="8"/>
      <c r="B621" s="9"/>
      <c r="C621" s="9"/>
      <c r="D621" s="9"/>
      <c r="E621" s="9"/>
      <c r="F621" s="9"/>
      <c r="G621" s="9"/>
    </row>
    <row r="622">
      <c r="A622" s="8"/>
      <c r="B622" s="9"/>
      <c r="C622" s="9"/>
      <c r="D622" s="9"/>
      <c r="E622" s="9"/>
      <c r="F622" s="9"/>
      <c r="G622" s="9"/>
    </row>
    <row r="623">
      <c r="A623" s="8"/>
      <c r="B623" s="9"/>
      <c r="C623" s="9"/>
      <c r="D623" s="9"/>
      <c r="E623" s="9"/>
      <c r="F623" s="9"/>
      <c r="G623" s="9"/>
    </row>
    <row r="624">
      <c r="A624" s="8"/>
      <c r="B624" s="9"/>
      <c r="C624" s="9"/>
      <c r="D624" s="9"/>
      <c r="E624" s="9"/>
      <c r="F624" s="9"/>
      <c r="G624" s="9"/>
    </row>
    <row r="625">
      <c r="A625" s="8"/>
      <c r="B625" s="9"/>
      <c r="C625" s="9"/>
      <c r="D625" s="9"/>
      <c r="E625" s="9"/>
      <c r="F625" s="9"/>
      <c r="G625" s="9"/>
    </row>
    <row r="626">
      <c r="A626" s="8"/>
      <c r="B626" s="9"/>
      <c r="C626" s="9"/>
      <c r="D626" s="9"/>
      <c r="E626" s="9"/>
      <c r="F626" s="9"/>
      <c r="G626" s="9"/>
    </row>
    <row r="627">
      <c r="A627" s="8"/>
      <c r="B627" s="9"/>
      <c r="C627" s="9"/>
      <c r="D627" s="9"/>
      <c r="E627" s="9"/>
      <c r="F627" s="9"/>
      <c r="G627" s="9"/>
    </row>
    <row r="628">
      <c r="A628" s="8"/>
      <c r="B628" s="9"/>
      <c r="C628" s="9"/>
      <c r="D628" s="9"/>
      <c r="E628" s="9"/>
      <c r="F628" s="9"/>
      <c r="G628" s="9"/>
    </row>
    <row r="629">
      <c r="A629" s="8"/>
      <c r="B629" s="9"/>
      <c r="C629" s="9"/>
      <c r="D629" s="9"/>
      <c r="E629" s="9"/>
      <c r="F629" s="9"/>
      <c r="G629" s="9"/>
    </row>
    <row r="630">
      <c r="A630" s="8"/>
      <c r="B630" s="9"/>
      <c r="C630" s="9"/>
      <c r="D630" s="9"/>
      <c r="E630" s="9"/>
      <c r="F630" s="9"/>
      <c r="G630" s="9"/>
    </row>
    <row r="631">
      <c r="A631" s="8"/>
      <c r="B631" s="9"/>
      <c r="C631" s="9"/>
      <c r="D631" s="9"/>
      <c r="E631" s="9"/>
      <c r="F631" s="9"/>
      <c r="G631" s="9"/>
    </row>
    <row r="632">
      <c r="A632" s="8"/>
      <c r="B632" s="9"/>
      <c r="C632" s="9"/>
      <c r="D632" s="9"/>
      <c r="E632" s="9"/>
      <c r="F632" s="9"/>
      <c r="G632" s="9"/>
    </row>
    <row r="633">
      <c r="A633" s="8"/>
      <c r="B633" s="9"/>
      <c r="C633" s="9"/>
      <c r="D633" s="9"/>
      <c r="E633" s="9"/>
      <c r="F633" s="9"/>
      <c r="G633" s="9"/>
    </row>
    <row r="634">
      <c r="A634" s="8"/>
      <c r="B634" s="9"/>
      <c r="C634" s="9"/>
      <c r="D634" s="9"/>
      <c r="E634" s="9"/>
      <c r="F634" s="9"/>
      <c r="G634" s="9"/>
    </row>
    <row r="635">
      <c r="A635" s="8"/>
      <c r="B635" s="9"/>
      <c r="C635" s="9"/>
      <c r="D635" s="9"/>
      <c r="E635" s="9"/>
      <c r="F635" s="9"/>
      <c r="G635" s="9"/>
    </row>
    <row r="636">
      <c r="A636" s="8"/>
      <c r="B636" s="9"/>
      <c r="C636" s="9"/>
      <c r="D636" s="9"/>
      <c r="E636" s="9"/>
      <c r="F636" s="9"/>
      <c r="G636" s="9"/>
    </row>
    <row r="637">
      <c r="A637" s="8"/>
      <c r="B637" s="9"/>
      <c r="C637" s="9"/>
      <c r="D637" s="9"/>
      <c r="E637" s="9"/>
      <c r="F637" s="9"/>
      <c r="G637" s="9"/>
    </row>
    <row r="638">
      <c r="A638" s="8"/>
      <c r="B638" s="9"/>
      <c r="C638" s="9"/>
      <c r="D638" s="9"/>
      <c r="E638" s="9"/>
      <c r="F638" s="9"/>
      <c r="G638" s="9"/>
    </row>
    <row r="639">
      <c r="A639" s="8"/>
      <c r="B639" s="9"/>
      <c r="C639" s="9"/>
      <c r="D639" s="9"/>
      <c r="E639" s="9"/>
      <c r="F639" s="9"/>
      <c r="G639" s="9"/>
    </row>
    <row r="640">
      <c r="A640" s="8"/>
      <c r="B640" s="9"/>
      <c r="C640" s="9"/>
      <c r="D640" s="9"/>
      <c r="E640" s="9"/>
      <c r="F640" s="9"/>
      <c r="G640" s="9"/>
    </row>
    <row r="641">
      <c r="A641" s="8"/>
      <c r="B641" s="9"/>
      <c r="C641" s="9"/>
      <c r="D641" s="9"/>
      <c r="E641" s="9"/>
      <c r="F641" s="9"/>
      <c r="G641" s="9"/>
    </row>
    <row r="642">
      <c r="A642" s="8"/>
      <c r="B642" s="9"/>
      <c r="C642" s="9"/>
      <c r="D642" s="9"/>
      <c r="E642" s="9"/>
      <c r="F642" s="9"/>
      <c r="G642" s="9"/>
    </row>
    <row r="643">
      <c r="A643" s="8"/>
      <c r="B643" s="9"/>
      <c r="C643" s="9"/>
      <c r="D643" s="9"/>
      <c r="E643" s="9"/>
      <c r="F643" s="9"/>
      <c r="G643" s="9"/>
    </row>
    <row r="644">
      <c r="A644" s="8"/>
      <c r="B644" s="9"/>
      <c r="C644" s="9"/>
      <c r="D644" s="9"/>
      <c r="E644" s="9"/>
      <c r="F644" s="9"/>
      <c r="G644" s="9"/>
    </row>
    <row r="645">
      <c r="A645" s="8"/>
      <c r="B645" s="9"/>
      <c r="C645" s="9"/>
      <c r="D645" s="9"/>
      <c r="E645" s="9"/>
      <c r="F645" s="9"/>
      <c r="G645" s="9"/>
    </row>
    <row r="646">
      <c r="A646" s="8"/>
      <c r="B646" s="9"/>
      <c r="C646" s="9"/>
      <c r="D646" s="9"/>
      <c r="E646" s="9"/>
      <c r="F646" s="9"/>
      <c r="G646" s="9"/>
    </row>
    <row r="647">
      <c r="A647" s="8"/>
      <c r="B647" s="9"/>
      <c r="C647" s="9"/>
      <c r="D647" s="9"/>
      <c r="E647" s="9"/>
      <c r="F647" s="9"/>
      <c r="G647" s="9"/>
    </row>
    <row r="648">
      <c r="A648" s="8"/>
      <c r="B648" s="9"/>
      <c r="C648" s="9"/>
      <c r="D648" s="9"/>
      <c r="E648" s="9"/>
      <c r="F648" s="9"/>
      <c r="G648" s="9"/>
    </row>
    <row r="649">
      <c r="A649" s="8"/>
      <c r="B649" s="9"/>
      <c r="C649" s="9"/>
      <c r="D649" s="9"/>
      <c r="E649" s="9"/>
      <c r="F649" s="9"/>
      <c r="G649" s="9"/>
    </row>
    <row r="650">
      <c r="A650" s="8"/>
      <c r="B650" s="9"/>
      <c r="C650" s="9"/>
      <c r="D650" s="9"/>
      <c r="E650" s="9"/>
      <c r="F650" s="9"/>
      <c r="G650" s="9"/>
    </row>
    <row r="651">
      <c r="A651" s="8"/>
      <c r="B651" s="9"/>
      <c r="C651" s="9"/>
      <c r="D651" s="9"/>
      <c r="E651" s="9"/>
      <c r="F651" s="9"/>
      <c r="G651" s="9"/>
    </row>
    <row r="652">
      <c r="A652" s="8"/>
      <c r="B652" s="9"/>
      <c r="C652" s="9"/>
      <c r="D652" s="9"/>
      <c r="E652" s="9"/>
      <c r="F652" s="9"/>
      <c r="G652" s="9"/>
    </row>
    <row r="653">
      <c r="A653" s="8"/>
      <c r="B653" s="9"/>
      <c r="C653" s="9"/>
      <c r="D653" s="9"/>
      <c r="E653" s="9"/>
      <c r="F653" s="9"/>
      <c r="G653" s="9"/>
    </row>
    <row r="654">
      <c r="A654" s="8"/>
      <c r="B654" s="9"/>
      <c r="C654" s="9"/>
      <c r="D654" s="9"/>
      <c r="E654" s="9"/>
      <c r="F654" s="9"/>
      <c r="G654" s="9"/>
    </row>
    <row r="655">
      <c r="A655" s="8"/>
      <c r="B655" s="9"/>
      <c r="C655" s="9"/>
      <c r="D655" s="9"/>
      <c r="E655" s="9"/>
      <c r="F655" s="9"/>
      <c r="G655" s="9"/>
    </row>
    <row r="656">
      <c r="A656" s="8"/>
      <c r="B656" s="9"/>
      <c r="C656" s="9"/>
      <c r="D656" s="9"/>
      <c r="E656" s="9"/>
      <c r="F656" s="9"/>
      <c r="G656" s="9"/>
    </row>
    <row r="657">
      <c r="A657" s="8"/>
      <c r="B657" s="9"/>
      <c r="C657" s="9"/>
      <c r="D657" s="9"/>
      <c r="E657" s="9"/>
      <c r="F657" s="9"/>
      <c r="G657" s="9"/>
    </row>
    <row r="658">
      <c r="A658" s="8"/>
      <c r="B658" s="9"/>
      <c r="C658" s="9"/>
      <c r="D658" s="9"/>
      <c r="E658" s="9"/>
      <c r="F658" s="9"/>
      <c r="G658" s="9"/>
    </row>
    <row r="659">
      <c r="A659" s="8"/>
      <c r="B659" s="9"/>
      <c r="C659" s="9"/>
      <c r="D659" s="9"/>
      <c r="E659" s="9"/>
      <c r="F659" s="9"/>
      <c r="G659" s="9"/>
    </row>
    <row r="660">
      <c r="A660" s="8"/>
      <c r="B660" s="9"/>
      <c r="C660" s="9"/>
      <c r="D660" s="9"/>
      <c r="E660" s="9"/>
      <c r="F660" s="9"/>
      <c r="G660" s="9"/>
    </row>
    <row r="661">
      <c r="A661" s="8"/>
      <c r="B661" s="9"/>
      <c r="C661" s="9"/>
      <c r="D661" s="9"/>
      <c r="E661" s="9"/>
      <c r="F661" s="9"/>
      <c r="G661" s="9"/>
    </row>
    <row r="662">
      <c r="A662" s="8"/>
      <c r="B662" s="9"/>
      <c r="C662" s="9"/>
      <c r="D662" s="9"/>
      <c r="E662" s="9"/>
      <c r="F662" s="9"/>
      <c r="G662" s="9"/>
    </row>
    <row r="663">
      <c r="A663" s="8"/>
      <c r="B663" s="9"/>
      <c r="C663" s="9"/>
      <c r="D663" s="9"/>
      <c r="E663" s="9"/>
      <c r="F663" s="9"/>
      <c r="G663" s="9"/>
    </row>
    <row r="664">
      <c r="A664" s="8"/>
      <c r="B664" s="9"/>
      <c r="C664" s="9"/>
      <c r="D664" s="9"/>
      <c r="E664" s="9"/>
      <c r="F664" s="9"/>
      <c r="G664" s="9"/>
    </row>
    <row r="665">
      <c r="A665" s="8"/>
      <c r="B665" s="9"/>
      <c r="C665" s="9"/>
      <c r="D665" s="9"/>
      <c r="E665" s="9"/>
      <c r="F665" s="9"/>
      <c r="G665" s="9"/>
    </row>
    <row r="666">
      <c r="A666" s="8"/>
      <c r="B666" s="9"/>
      <c r="C666" s="9"/>
      <c r="D666" s="9"/>
      <c r="E666" s="9"/>
      <c r="F666" s="9"/>
      <c r="G666" s="9"/>
    </row>
    <row r="667">
      <c r="A667" s="8"/>
      <c r="B667" s="9"/>
      <c r="C667" s="9"/>
      <c r="D667" s="9"/>
      <c r="E667" s="9"/>
      <c r="F667" s="9"/>
      <c r="G667" s="9"/>
    </row>
    <row r="668">
      <c r="A668" s="8"/>
      <c r="B668" s="9"/>
      <c r="C668" s="9"/>
      <c r="D668" s="9"/>
      <c r="E668" s="9"/>
      <c r="F668" s="9"/>
      <c r="G668" s="9"/>
    </row>
    <row r="669">
      <c r="A669" s="8"/>
      <c r="B669" s="9"/>
      <c r="C669" s="9"/>
      <c r="D669" s="9"/>
      <c r="E669" s="9"/>
      <c r="F669" s="9"/>
      <c r="G669" s="9"/>
    </row>
    <row r="670">
      <c r="A670" s="8"/>
      <c r="B670" s="9"/>
      <c r="C670" s="9"/>
      <c r="D670" s="9"/>
      <c r="E670" s="9"/>
      <c r="F670" s="9"/>
      <c r="G670" s="9"/>
    </row>
    <row r="671">
      <c r="A671" s="8"/>
      <c r="B671" s="9"/>
      <c r="C671" s="9"/>
      <c r="D671" s="9"/>
      <c r="E671" s="9"/>
      <c r="F671" s="9"/>
      <c r="G671" s="9"/>
    </row>
    <row r="672">
      <c r="A672" s="8"/>
      <c r="B672" s="9"/>
      <c r="C672" s="9"/>
      <c r="D672" s="9"/>
      <c r="E672" s="9"/>
      <c r="F672" s="9"/>
      <c r="G672" s="9"/>
    </row>
    <row r="673">
      <c r="A673" s="8"/>
      <c r="B673" s="9"/>
      <c r="C673" s="9"/>
      <c r="D673" s="9"/>
      <c r="E673" s="9"/>
      <c r="F673" s="9"/>
      <c r="G673" s="9"/>
    </row>
    <row r="674">
      <c r="A674" s="8"/>
      <c r="B674" s="9"/>
      <c r="C674" s="9"/>
      <c r="D674" s="9"/>
      <c r="E674" s="9"/>
      <c r="F674" s="9"/>
      <c r="G674" s="9"/>
    </row>
    <row r="675">
      <c r="A675" s="8"/>
      <c r="B675" s="9"/>
      <c r="C675" s="9"/>
      <c r="D675" s="9"/>
      <c r="E675" s="9"/>
      <c r="F675" s="9"/>
      <c r="G675" s="9"/>
    </row>
    <row r="676">
      <c r="A676" s="8"/>
      <c r="B676" s="9"/>
      <c r="C676" s="9"/>
      <c r="D676" s="9"/>
      <c r="E676" s="9"/>
      <c r="F676" s="9"/>
      <c r="G676" s="9"/>
    </row>
    <row r="677">
      <c r="A677" s="8"/>
      <c r="B677" s="9"/>
      <c r="C677" s="9"/>
      <c r="D677" s="9"/>
      <c r="E677" s="9"/>
      <c r="F677" s="9"/>
      <c r="G677" s="9"/>
    </row>
    <row r="678">
      <c r="A678" s="8"/>
      <c r="B678" s="9"/>
      <c r="C678" s="9"/>
      <c r="D678" s="9"/>
      <c r="E678" s="9"/>
      <c r="F678" s="9"/>
      <c r="G678" s="9"/>
    </row>
    <row r="679">
      <c r="A679" s="8"/>
      <c r="B679" s="9"/>
      <c r="C679" s="9"/>
      <c r="D679" s="9"/>
      <c r="E679" s="9"/>
      <c r="F679" s="9"/>
      <c r="G679" s="9"/>
    </row>
    <row r="680">
      <c r="A680" s="8"/>
      <c r="B680" s="9"/>
      <c r="C680" s="9"/>
      <c r="D680" s="9"/>
      <c r="E680" s="9"/>
      <c r="F680" s="9"/>
      <c r="G680" s="9"/>
    </row>
    <row r="681">
      <c r="A681" s="8"/>
      <c r="B681" s="9"/>
      <c r="C681" s="9"/>
      <c r="D681" s="9"/>
      <c r="E681" s="9"/>
      <c r="F681" s="9"/>
      <c r="G681" s="9"/>
    </row>
    <row r="682">
      <c r="A682" s="8"/>
      <c r="B682" s="9"/>
      <c r="C682" s="9"/>
      <c r="D682" s="9"/>
      <c r="E682" s="9"/>
      <c r="F682" s="9"/>
      <c r="G682" s="9"/>
    </row>
    <row r="683">
      <c r="A683" s="8"/>
      <c r="B683" s="9"/>
      <c r="C683" s="9"/>
      <c r="D683" s="9"/>
      <c r="E683" s="9"/>
      <c r="F683" s="9"/>
      <c r="G683" s="9"/>
    </row>
    <row r="684">
      <c r="A684" s="8"/>
      <c r="B684" s="9"/>
      <c r="C684" s="9"/>
      <c r="D684" s="9"/>
      <c r="E684" s="9"/>
      <c r="F684" s="9"/>
      <c r="G684" s="9"/>
    </row>
    <row r="685">
      <c r="A685" s="8"/>
      <c r="B685" s="9"/>
      <c r="C685" s="9"/>
      <c r="D685" s="9"/>
      <c r="E685" s="9"/>
      <c r="F685" s="9"/>
      <c r="G685" s="9"/>
    </row>
    <row r="686">
      <c r="A686" s="8"/>
      <c r="B686" s="9"/>
      <c r="C686" s="9"/>
      <c r="D686" s="9"/>
      <c r="E686" s="9"/>
      <c r="F686" s="9"/>
      <c r="G686" s="9"/>
    </row>
    <row r="687">
      <c r="A687" s="8"/>
      <c r="B687" s="9"/>
      <c r="C687" s="9"/>
      <c r="D687" s="9"/>
      <c r="E687" s="9"/>
      <c r="F687" s="9"/>
      <c r="G687" s="9"/>
    </row>
    <row r="688">
      <c r="A688" s="8"/>
      <c r="B688" s="9"/>
      <c r="C688" s="9"/>
      <c r="D688" s="9"/>
      <c r="E688" s="9"/>
      <c r="F688" s="9"/>
      <c r="G688" s="9"/>
    </row>
    <row r="689">
      <c r="A689" s="8"/>
      <c r="B689" s="9"/>
      <c r="C689" s="9"/>
      <c r="D689" s="9"/>
      <c r="E689" s="9"/>
      <c r="F689" s="9"/>
      <c r="G689" s="9"/>
    </row>
    <row r="690">
      <c r="A690" s="8"/>
      <c r="B690" s="9"/>
      <c r="C690" s="9"/>
      <c r="D690" s="9"/>
      <c r="E690" s="9"/>
      <c r="F690" s="9"/>
      <c r="G690" s="9"/>
    </row>
    <row r="691">
      <c r="A691" s="8"/>
      <c r="B691" s="9"/>
      <c r="C691" s="9"/>
      <c r="D691" s="9"/>
      <c r="E691" s="9"/>
      <c r="F691" s="9"/>
      <c r="G691" s="9"/>
    </row>
    <row r="692">
      <c r="A692" s="8"/>
      <c r="B692" s="9"/>
      <c r="C692" s="9"/>
      <c r="D692" s="9"/>
      <c r="E692" s="9"/>
      <c r="F692" s="9"/>
      <c r="G692" s="9"/>
    </row>
    <row r="693">
      <c r="A693" s="8"/>
      <c r="B693" s="9"/>
      <c r="C693" s="9"/>
      <c r="D693" s="9"/>
      <c r="E693" s="9"/>
      <c r="F693" s="9"/>
      <c r="G693" s="9"/>
    </row>
    <row r="694">
      <c r="A694" s="8"/>
      <c r="B694" s="9"/>
      <c r="C694" s="9"/>
      <c r="D694" s="9"/>
      <c r="E694" s="9"/>
      <c r="F694" s="9"/>
      <c r="G694" s="9"/>
    </row>
    <row r="695">
      <c r="A695" s="8"/>
      <c r="B695" s="9"/>
      <c r="C695" s="9"/>
      <c r="D695" s="9"/>
      <c r="E695" s="9"/>
      <c r="F695" s="9"/>
      <c r="G695" s="9"/>
    </row>
    <row r="696">
      <c r="A696" s="8"/>
      <c r="B696" s="9"/>
      <c r="C696" s="9"/>
      <c r="D696" s="9"/>
      <c r="E696" s="9"/>
      <c r="F696" s="9"/>
      <c r="G696" s="9"/>
    </row>
    <row r="697">
      <c r="A697" s="8"/>
      <c r="B697" s="9"/>
      <c r="C697" s="9"/>
      <c r="D697" s="9"/>
      <c r="E697" s="9"/>
      <c r="F697" s="9"/>
      <c r="G697" s="9"/>
    </row>
    <row r="698">
      <c r="A698" s="8"/>
      <c r="B698" s="9"/>
      <c r="C698" s="9"/>
      <c r="D698" s="9"/>
      <c r="E698" s="9"/>
      <c r="F698" s="9"/>
      <c r="G698" s="9"/>
    </row>
    <row r="699">
      <c r="A699" s="8"/>
      <c r="B699" s="9"/>
      <c r="C699" s="9"/>
      <c r="D699" s="9"/>
      <c r="E699" s="9"/>
      <c r="F699" s="9"/>
      <c r="G699" s="9"/>
    </row>
    <row r="700">
      <c r="A700" s="8"/>
      <c r="B700" s="9"/>
      <c r="C700" s="9"/>
      <c r="D700" s="9"/>
      <c r="E700" s="9"/>
      <c r="F700" s="9"/>
      <c r="G700" s="9"/>
    </row>
    <row r="701">
      <c r="A701" s="8"/>
      <c r="B701" s="9"/>
      <c r="C701" s="9"/>
      <c r="D701" s="9"/>
      <c r="E701" s="9"/>
      <c r="F701" s="9"/>
      <c r="G701" s="9"/>
    </row>
    <row r="702">
      <c r="A702" s="8"/>
      <c r="B702" s="9"/>
      <c r="C702" s="9"/>
      <c r="D702" s="9"/>
      <c r="E702" s="9"/>
      <c r="F702" s="9"/>
      <c r="G702" s="9"/>
    </row>
    <row r="703">
      <c r="A703" s="8"/>
      <c r="B703" s="9"/>
      <c r="C703" s="9"/>
      <c r="D703" s="9"/>
      <c r="E703" s="9"/>
      <c r="F703" s="9"/>
      <c r="G703" s="9"/>
    </row>
    <row r="704">
      <c r="A704" s="8"/>
      <c r="B704" s="9"/>
      <c r="C704" s="9"/>
      <c r="D704" s="9"/>
      <c r="E704" s="9"/>
      <c r="F704" s="9"/>
      <c r="G704" s="9"/>
    </row>
    <row r="705">
      <c r="A705" s="8"/>
      <c r="B705" s="9"/>
      <c r="C705" s="9"/>
      <c r="D705" s="9"/>
      <c r="E705" s="9"/>
      <c r="F705" s="9"/>
      <c r="G705" s="9"/>
    </row>
    <row r="706">
      <c r="A706" s="8"/>
      <c r="B706" s="9"/>
      <c r="C706" s="9"/>
      <c r="D706" s="9"/>
      <c r="E706" s="9"/>
      <c r="F706" s="9"/>
      <c r="G706" s="9"/>
    </row>
    <row r="707">
      <c r="A707" s="8"/>
      <c r="B707" s="9"/>
      <c r="C707" s="9"/>
      <c r="D707" s="9"/>
      <c r="E707" s="9"/>
      <c r="F707" s="9"/>
      <c r="G707" s="9"/>
    </row>
    <row r="708">
      <c r="A708" s="8"/>
      <c r="B708" s="9"/>
      <c r="C708" s="9"/>
      <c r="D708" s="9"/>
      <c r="E708" s="9"/>
      <c r="F708" s="9"/>
      <c r="G708" s="9"/>
    </row>
    <row r="709">
      <c r="A709" s="8"/>
      <c r="B709" s="9"/>
      <c r="C709" s="9"/>
      <c r="D709" s="9"/>
      <c r="E709" s="9"/>
      <c r="F709" s="9"/>
      <c r="G709" s="9"/>
    </row>
    <row r="710">
      <c r="A710" s="8"/>
      <c r="B710" s="9"/>
      <c r="C710" s="9"/>
      <c r="D710" s="9"/>
      <c r="E710" s="9"/>
      <c r="F710" s="9"/>
      <c r="G710" s="9"/>
    </row>
    <row r="711">
      <c r="A711" s="8"/>
      <c r="B711" s="9"/>
      <c r="C711" s="9"/>
      <c r="D711" s="9"/>
      <c r="E711" s="9"/>
      <c r="F711" s="9"/>
      <c r="G711" s="9"/>
    </row>
    <row r="712">
      <c r="A712" s="8"/>
      <c r="B712" s="9"/>
      <c r="C712" s="9"/>
      <c r="D712" s="9"/>
      <c r="E712" s="9"/>
      <c r="F712" s="9"/>
      <c r="G712" s="9"/>
    </row>
    <row r="713">
      <c r="A713" s="8"/>
      <c r="B713" s="9"/>
      <c r="C713" s="9"/>
      <c r="D713" s="9"/>
      <c r="E713" s="9"/>
      <c r="F713" s="9"/>
      <c r="G713" s="9"/>
    </row>
    <row r="714">
      <c r="A714" s="8"/>
      <c r="B714" s="9"/>
      <c r="C714" s="9"/>
      <c r="D714" s="9"/>
      <c r="E714" s="9"/>
      <c r="F714" s="9"/>
      <c r="G714" s="9"/>
    </row>
    <row r="715">
      <c r="A715" s="8"/>
      <c r="B715" s="9"/>
      <c r="C715" s="9"/>
      <c r="D715" s="9"/>
      <c r="E715" s="9"/>
      <c r="F715" s="9"/>
      <c r="G715" s="9"/>
    </row>
    <row r="716">
      <c r="A716" s="8"/>
      <c r="B716" s="9"/>
      <c r="C716" s="9"/>
      <c r="D716" s="9"/>
      <c r="E716" s="9"/>
      <c r="F716" s="9"/>
      <c r="G716" s="9"/>
    </row>
    <row r="717">
      <c r="A717" s="8"/>
      <c r="B717" s="9"/>
      <c r="C717" s="9"/>
      <c r="D717" s="9"/>
      <c r="E717" s="9"/>
      <c r="F717" s="9"/>
      <c r="G717" s="9"/>
    </row>
    <row r="718">
      <c r="A718" s="8"/>
      <c r="B718" s="9"/>
      <c r="C718" s="9"/>
      <c r="D718" s="9"/>
      <c r="E718" s="9"/>
      <c r="F718" s="9"/>
      <c r="G718" s="9"/>
    </row>
    <row r="719">
      <c r="A719" s="8"/>
      <c r="B719" s="9"/>
      <c r="C719" s="9"/>
      <c r="D719" s="9"/>
      <c r="E719" s="9"/>
      <c r="F719" s="9"/>
      <c r="G719" s="9"/>
    </row>
    <row r="720">
      <c r="A720" s="8"/>
      <c r="B720" s="9"/>
      <c r="C720" s="9"/>
      <c r="D720" s="9"/>
      <c r="E720" s="9"/>
      <c r="F720" s="9"/>
      <c r="G720" s="9"/>
    </row>
    <row r="721">
      <c r="A721" s="8"/>
      <c r="B721" s="9"/>
      <c r="C721" s="9"/>
      <c r="D721" s="9"/>
      <c r="E721" s="9"/>
      <c r="F721" s="9"/>
      <c r="G721" s="9"/>
    </row>
    <row r="722">
      <c r="A722" s="8"/>
      <c r="B722" s="9"/>
      <c r="C722" s="9"/>
      <c r="D722" s="9"/>
      <c r="E722" s="9"/>
      <c r="F722" s="9"/>
      <c r="G722" s="9"/>
    </row>
    <row r="723">
      <c r="A723" s="8"/>
      <c r="B723" s="9"/>
      <c r="C723" s="9"/>
      <c r="D723" s="9"/>
      <c r="E723" s="9"/>
      <c r="F723" s="9"/>
      <c r="G723" s="9"/>
    </row>
    <row r="724">
      <c r="A724" s="8"/>
      <c r="B724" s="9"/>
      <c r="C724" s="9"/>
      <c r="D724" s="9"/>
      <c r="E724" s="9"/>
      <c r="F724" s="9"/>
      <c r="G724" s="9"/>
    </row>
    <row r="725">
      <c r="A725" s="8"/>
      <c r="B725" s="9"/>
      <c r="C725" s="9"/>
      <c r="D725" s="9"/>
      <c r="E725" s="9"/>
      <c r="F725" s="9"/>
      <c r="G725" s="9"/>
    </row>
    <row r="726">
      <c r="A726" s="8"/>
      <c r="B726" s="9"/>
      <c r="C726" s="9"/>
      <c r="D726" s="9"/>
      <c r="E726" s="9"/>
      <c r="F726" s="9"/>
      <c r="G726" s="9"/>
    </row>
    <row r="727">
      <c r="A727" s="8"/>
      <c r="B727" s="9"/>
      <c r="C727" s="9"/>
      <c r="D727" s="9"/>
      <c r="E727" s="9"/>
      <c r="F727" s="9"/>
      <c r="G727" s="9"/>
    </row>
    <row r="728">
      <c r="A728" s="8"/>
      <c r="B728" s="9"/>
      <c r="C728" s="9"/>
      <c r="D728" s="9"/>
      <c r="E728" s="9"/>
      <c r="F728" s="9"/>
      <c r="G728" s="9"/>
    </row>
    <row r="729">
      <c r="A729" s="8"/>
      <c r="B729" s="9"/>
      <c r="C729" s="9"/>
      <c r="D729" s="9"/>
      <c r="E729" s="9"/>
      <c r="F729" s="9"/>
      <c r="G729" s="9"/>
    </row>
    <row r="730">
      <c r="A730" s="8"/>
      <c r="B730" s="9"/>
      <c r="C730" s="9"/>
      <c r="D730" s="9"/>
      <c r="E730" s="9"/>
      <c r="F730" s="9"/>
      <c r="G730" s="9"/>
    </row>
    <row r="731">
      <c r="A731" s="8"/>
      <c r="B731" s="9"/>
      <c r="C731" s="9"/>
      <c r="D731" s="9"/>
      <c r="E731" s="9"/>
      <c r="F731" s="9"/>
      <c r="G731" s="9"/>
    </row>
    <row r="732">
      <c r="A732" s="8"/>
      <c r="B732" s="9"/>
      <c r="C732" s="9"/>
      <c r="D732" s="9"/>
      <c r="E732" s="9"/>
      <c r="F732" s="9"/>
      <c r="G732" s="9"/>
    </row>
    <row r="733">
      <c r="A733" s="8"/>
      <c r="B733" s="9"/>
      <c r="C733" s="9"/>
      <c r="D733" s="9"/>
      <c r="E733" s="9"/>
      <c r="F733" s="9"/>
      <c r="G733" s="9"/>
    </row>
    <row r="734">
      <c r="A734" s="8"/>
      <c r="B734" s="9"/>
      <c r="C734" s="9"/>
      <c r="D734" s="9"/>
      <c r="E734" s="9"/>
      <c r="F734" s="9"/>
      <c r="G734" s="9"/>
    </row>
    <row r="735">
      <c r="A735" s="8"/>
      <c r="B735" s="9"/>
      <c r="C735" s="9"/>
      <c r="D735" s="9"/>
      <c r="E735" s="9"/>
      <c r="F735" s="9"/>
      <c r="G735" s="9"/>
    </row>
    <row r="736">
      <c r="A736" s="8"/>
      <c r="B736" s="9"/>
      <c r="C736" s="9"/>
      <c r="D736" s="9"/>
      <c r="E736" s="9"/>
      <c r="F736" s="9"/>
      <c r="G736" s="9"/>
    </row>
    <row r="737">
      <c r="A737" s="8"/>
      <c r="B737" s="9"/>
      <c r="C737" s="9"/>
      <c r="D737" s="9"/>
      <c r="E737" s="9"/>
      <c r="F737" s="9"/>
      <c r="G737" s="9"/>
    </row>
    <row r="738">
      <c r="A738" s="8"/>
      <c r="B738" s="9"/>
      <c r="C738" s="9"/>
      <c r="D738" s="9"/>
      <c r="E738" s="9"/>
      <c r="F738" s="9"/>
      <c r="G738" s="9"/>
    </row>
    <row r="739">
      <c r="A739" s="8"/>
      <c r="B739" s="9"/>
      <c r="C739" s="9"/>
      <c r="D739" s="9"/>
      <c r="E739" s="9"/>
      <c r="F739" s="9"/>
      <c r="G739" s="9"/>
    </row>
    <row r="740">
      <c r="A740" s="8"/>
      <c r="B740" s="9"/>
      <c r="C740" s="9"/>
      <c r="D740" s="9"/>
      <c r="E740" s="9"/>
      <c r="F740" s="9"/>
      <c r="G740" s="9"/>
    </row>
    <row r="741">
      <c r="A741" s="8"/>
      <c r="B741" s="9"/>
      <c r="C741" s="9"/>
      <c r="D741" s="9"/>
      <c r="E741" s="9"/>
      <c r="F741" s="9"/>
      <c r="G741" s="9"/>
    </row>
    <row r="742">
      <c r="A742" s="8"/>
      <c r="B742" s="9"/>
      <c r="C742" s="9"/>
      <c r="D742" s="9"/>
      <c r="E742" s="9"/>
      <c r="F742" s="9"/>
      <c r="G742" s="9"/>
    </row>
    <row r="743">
      <c r="A743" s="8"/>
      <c r="B743" s="9"/>
      <c r="C743" s="9"/>
      <c r="D743" s="9"/>
      <c r="E743" s="9"/>
      <c r="F743" s="9"/>
      <c r="G743" s="9"/>
    </row>
    <row r="744">
      <c r="A744" s="8"/>
      <c r="B744" s="9"/>
      <c r="C744" s="9"/>
      <c r="D744" s="9"/>
      <c r="E744" s="9"/>
      <c r="F744" s="9"/>
      <c r="G744" s="9"/>
    </row>
    <row r="745">
      <c r="A745" s="8"/>
      <c r="B745" s="9"/>
      <c r="C745" s="9"/>
      <c r="D745" s="9"/>
      <c r="E745" s="9"/>
      <c r="F745" s="9"/>
      <c r="G745" s="9"/>
    </row>
    <row r="746">
      <c r="A746" s="8"/>
      <c r="B746" s="9"/>
      <c r="C746" s="9"/>
      <c r="D746" s="9"/>
      <c r="E746" s="9"/>
      <c r="F746" s="9"/>
      <c r="G746" s="9"/>
    </row>
    <row r="747">
      <c r="A747" s="8"/>
      <c r="B747" s="9"/>
      <c r="C747" s="9"/>
      <c r="D747" s="9"/>
      <c r="E747" s="9"/>
      <c r="F747" s="9"/>
      <c r="G747" s="9"/>
    </row>
    <row r="748">
      <c r="A748" s="8"/>
      <c r="B748" s="9"/>
      <c r="C748" s="9"/>
      <c r="D748" s="9"/>
      <c r="E748" s="9"/>
      <c r="F748" s="9"/>
      <c r="G748" s="9"/>
    </row>
    <row r="749">
      <c r="A749" s="8"/>
      <c r="B749" s="9"/>
      <c r="C749" s="9"/>
      <c r="D749" s="9"/>
      <c r="E749" s="9"/>
      <c r="F749" s="9"/>
      <c r="G749" s="9"/>
    </row>
    <row r="750">
      <c r="A750" s="8"/>
      <c r="B750" s="9"/>
      <c r="C750" s="9"/>
      <c r="D750" s="9"/>
      <c r="E750" s="9"/>
      <c r="F750" s="9"/>
      <c r="G750" s="9"/>
    </row>
    <row r="751">
      <c r="A751" s="8"/>
      <c r="B751" s="9"/>
      <c r="C751" s="9"/>
      <c r="D751" s="9"/>
      <c r="E751" s="9"/>
      <c r="F751" s="9"/>
      <c r="G751" s="9"/>
    </row>
    <row r="752">
      <c r="A752" s="8"/>
      <c r="B752" s="9"/>
      <c r="C752" s="9"/>
      <c r="D752" s="9"/>
      <c r="E752" s="9"/>
      <c r="F752" s="9"/>
      <c r="G752" s="9"/>
    </row>
    <row r="753">
      <c r="A753" s="8"/>
      <c r="B753" s="9"/>
      <c r="C753" s="9"/>
      <c r="D753" s="9"/>
      <c r="E753" s="9"/>
      <c r="F753" s="9"/>
      <c r="G753" s="9"/>
    </row>
    <row r="754">
      <c r="A754" s="8"/>
      <c r="B754" s="9"/>
      <c r="C754" s="9"/>
      <c r="D754" s="9"/>
      <c r="E754" s="9"/>
      <c r="F754" s="9"/>
      <c r="G754" s="9"/>
    </row>
    <row r="755">
      <c r="A755" s="8"/>
      <c r="B755" s="9"/>
      <c r="C755" s="9"/>
      <c r="D755" s="9"/>
      <c r="E755" s="9"/>
      <c r="F755" s="9"/>
      <c r="G755" s="9"/>
    </row>
    <row r="756">
      <c r="A756" s="8"/>
      <c r="B756" s="9"/>
      <c r="C756" s="9"/>
      <c r="D756" s="9"/>
      <c r="E756" s="9"/>
      <c r="F756" s="9"/>
      <c r="G756" s="9"/>
    </row>
    <row r="757">
      <c r="A757" s="8"/>
      <c r="B757" s="9"/>
      <c r="C757" s="9"/>
      <c r="D757" s="9"/>
      <c r="E757" s="9"/>
      <c r="F757" s="9"/>
      <c r="G757" s="9"/>
    </row>
    <row r="758">
      <c r="A758" s="8"/>
      <c r="B758" s="9"/>
      <c r="C758" s="9"/>
      <c r="D758" s="9"/>
      <c r="E758" s="9"/>
      <c r="F758" s="9"/>
      <c r="G758" s="9"/>
    </row>
    <row r="759">
      <c r="A759" s="8"/>
      <c r="B759" s="9"/>
      <c r="C759" s="9"/>
      <c r="D759" s="9"/>
      <c r="E759" s="9"/>
      <c r="F759" s="9"/>
      <c r="G759" s="9"/>
    </row>
    <row r="760">
      <c r="A760" s="8"/>
      <c r="B760" s="9"/>
      <c r="C760" s="9"/>
      <c r="D760" s="9"/>
      <c r="E760" s="9"/>
      <c r="F760" s="9"/>
      <c r="G760" s="9"/>
    </row>
    <row r="761">
      <c r="A761" s="8"/>
      <c r="B761" s="9"/>
      <c r="C761" s="9"/>
      <c r="D761" s="9"/>
      <c r="E761" s="9"/>
      <c r="F761" s="9"/>
      <c r="G761" s="9"/>
    </row>
    <row r="762">
      <c r="A762" s="8"/>
      <c r="B762" s="9"/>
      <c r="C762" s="9"/>
      <c r="D762" s="9"/>
      <c r="E762" s="9"/>
      <c r="F762" s="9"/>
      <c r="G762" s="9"/>
    </row>
    <row r="763">
      <c r="A763" s="8"/>
      <c r="B763" s="9"/>
      <c r="C763" s="9"/>
      <c r="D763" s="9"/>
      <c r="E763" s="9"/>
      <c r="F763" s="9"/>
      <c r="G763" s="9"/>
    </row>
    <row r="764">
      <c r="A764" s="8"/>
      <c r="B764" s="9"/>
      <c r="C764" s="9"/>
      <c r="D764" s="9"/>
      <c r="E764" s="9"/>
      <c r="F764" s="9"/>
      <c r="G764" s="9"/>
    </row>
    <row r="765">
      <c r="A765" s="8"/>
      <c r="B765" s="9"/>
      <c r="C765" s="9"/>
      <c r="D765" s="9"/>
      <c r="E765" s="9"/>
      <c r="F765" s="9"/>
      <c r="G765" s="9"/>
    </row>
    <row r="766">
      <c r="A766" s="8"/>
      <c r="B766" s="9"/>
      <c r="C766" s="9"/>
      <c r="D766" s="9"/>
      <c r="E766" s="9"/>
      <c r="F766" s="9"/>
      <c r="G766" s="9"/>
    </row>
    <row r="767">
      <c r="A767" s="8"/>
      <c r="B767" s="9"/>
      <c r="C767" s="9"/>
      <c r="D767" s="9"/>
      <c r="E767" s="9"/>
      <c r="F767" s="9"/>
      <c r="G767" s="9"/>
    </row>
    <row r="768">
      <c r="A768" s="8"/>
      <c r="B768" s="9"/>
      <c r="C768" s="9"/>
      <c r="D768" s="9"/>
      <c r="E768" s="9"/>
      <c r="F768" s="9"/>
      <c r="G768" s="9"/>
    </row>
    <row r="769">
      <c r="A769" s="8"/>
      <c r="B769" s="9"/>
      <c r="C769" s="9"/>
      <c r="D769" s="9"/>
      <c r="E769" s="9"/>
      <c r="F769" s="9"/>
      <c r="G769" s="9"/>
    </row>
    <row r="770">
      <c r="A770" s="8"/>
      <c r="B770" s="9"/>
      <c r="C770" s="9"/>
      <c r="D770" s="9"/>
      <c r="E770" s="9"/>
      <c r="F770" s="9"/>
      <c r="G770" s="9"/>
    </row>
    <row r="771">
      <c r="A771" s="8"/>
      <c r="B771" s="9"/>
      <c r="C771" s="9"/>
      <c r="D771" s="9"/>
      <c r="E771" s="9"/>
      <c r="F771" s="9"/>
      <c r="G771" s="9"/>
    </row>
    <row r="772">
      <c r="A772" s="8"/>
      <c r="B772" s="9"/>
      <c r="C772" s="9"/>
      <c r="D772" s="9"/>
      <c r="E772" s="9"/>
      <c r="F772" s="9"/>
      <c r="G772" s="9"/>
    </row>
    <row r="773">
      <c r="A773" s="8"/>
      <c r="B773" s="9"/>
      <c r="C773" s="9"/>
      <c r="D773" s="9"/>
      <c r="E773" s="9"/>
      <c r="F773" s="9"/>
      <c r="G773" s="9"/>
    </row>
    <row r="774">
      <c r="A774" s="8"/>
      <c r="B774" s="9"/>
      <c r="C774" s="9"/>
      <c r="D774" s="9"/>
      <c r="E774" s="9"/>
      <c r="F774" s="9"/>
      <c r="G774" s="9"/>
    </row>
    <row r="775">
      <c r="A775" s="8"/>
      <c r="B775" s="9"/>
      <c r="C775" s="9"/>
      <c r="D775" s="9"/>
      <c r="E775" s="9"/>
      <c r="F775" s="9"/>
      <c r="G775" s="9"/>
    </row>
    <row r="776">
      <c r="A776" s="8"/>
      <c r="B776" s="9"/>
      <c r="C776" s="9"/>
      <c r="D776" s="9"/>
      <c r="E776" s="9"/>
      <c r="F776" s="9"/>
      <c r="G776" s="9"/>
    </row>
    <row r="777">
      <c r="A777" s="8"/>
      <c r="B777" s="9"/>
      <c r="C777" s="9"/>
      <c r="D777" s="9"/>
      <c r="E777" s="9"/>
      <c r="F777" s="9"/>
      <c r="G777" s="9"/>
    </row>
    <row r="778">
      <c r="A778" s="8"/>
      <c r="B778" s="9"/>
      <c r="C778" s="9"/>
      <c r="D778" s="9"/>
      <c r="E778" s="9"/>
      <c r="F778" s="9"/>
      <c r="G778" s="9"/>
    </row>
    <row r="779">
      <c r="A779" s="8"/>
      <c r="B779" s="9"/>
      <c r="C779" s="9"/>
      <c r="D779" s="9"/>
      <c r="E779" s="9"/>
      <c r="F779" s="9"/>
      <c r="G779" s="9"/>
    </row>
    <row r="780">
      <c r="A780" s="8"/>
      <c r="B780" s="9"/>
      <c r="C780" s="9"/>
      <c r="D780" s="9"/>
      <c r="E780" s="9"/>
      <c r="F780" s="9"/>
      <c r="G780" s="9"/>
    </row>
    <row r="781">
      <c r="A781" s="8"/>
      <c r="B781" s="9"/>
      <c r="C781" s="9"/>
      <c r="D781" s="9"/>
      <c r="E781" s="9"/>
      <c r="F781" s="9"/>
      <c r="G781" s="9"/>
    </row>
    <row r="782">
      <c r="A782" s="8"/>
      <c r="B782" s="9"/>
      <c r="C782" s="9"/>
      <c r="D782" s="9"/>
      <c r="E782" s="9"/>
      <c r="F782" s="9"/>
      <c r="G782" s="9"/>
    </row>
    <row r="783">
      <c r="A783" s="8"/>
      <c r="B783" s="9"/>
      <c r="C783" s="9"/>
      <c r="D783" s="9"/>
      <c r="E783" s="9"/>
      <c r="F783" s="9"/>
      <c r="G783" s="9"/>
    </row>
    <row r="784">
      <c r="A784" s="8"/>
      <c r="B784" s="9"/>
      <c r="C784" s="9"/>
      <c r="D784" s="9"/>
      <c r="E784" s="9"/>
      <c r="F784" s="9"/>
      <c r="G784" s="9"/>
    </row>
    <row r="785">
      <c r="A785" s="8"/>
      <c r="B785" s="9"/>
      <c r="C785" s="9"/>
      <c r="D785" s="9"/>
      <c r="E785" s="9"/>
      <c r="F785" s="9"/>
      <c r="G785" s="9"/>
    </row>
    <row r="786">
      <c r="A786" s="8"/>
      <c r="B786" s="9"/>
      <c r="C786" s="9"/>
      <c r="D786" s="9"/>
      <c r="E786" s="9"/>
      <c r="F786" s="9"/>
      <c r="G786" s="9"/>
    </row>
    <row r="787">
      <c r="A787" s="8"/>
      <c r="B787" s="9"/>
      <c r="C787" s="9"/>
      <c r="D787" s="9"/>
      <c r="E787" s="9"/>
      <c r="F787" s="9"/>
      <c r="G787" s="9"/>
    </row>
    <row r="788">
      <c r="A788" s="8"/>
      <c r="B788" s="9"/>
      <c r="C788" s="9"/>
      <c r="D788" s="9"/>
      <c r="E788" s="9"/>
      <c r="F788" s="9"/>
      <c r="G788" s="9"/>
    </row>
    <row r="789">
      <c r="A789" s="8"/>
      <c r="B789" s="9"/>
      <c r="C789" s="9"/>
      <c r="D789" s="9"/>
      <c r="E789" s="9"/>
      <c r="F789" s="9"/>
      <c r="G789" s="9"/>
    </row>
    <row r="790">
      <c r="A790" s="8"/>
      <c r="B790" s="9"/>
      <c r="C790" s="9"/>
      <c r="D790" s="9"/>
      <c r="E790" s="9"/>
      <c r="F790" s="9"/>
      <c r="G790" s="9"/>
    </row>
    <row r="791">
      <c r="A791" s="8"/>
      <c r="B791" s="9"/>
      <c r="C791" s="9"/>
      <c r="D791" s="9"/>
      <c r="E791" s="9"/>
      <c r="F791" s="9"/>
      <c r="G791" s="9"/>
    </row>
    <row r="792">
      <c r="A792" s="8"/>
      <c r="B792" s="9"/>
      <c r="C792" s="9"/>
      <c r="D792" s="9"/>
      <c r="E792" s="9"/>
      <c r="F792" s="9"/>
      <c r="G792" s="9"/>
    </row>
    <row r="793">
      <c r="A793" s="8"/>
      <c r="B793" s="9"/>
      <c r="C793" s="9"/>
      <c r="D793" s="9"/>
      <c r="E793" s="9"/>
      <c r="F793" s="9"/>
      <c r="G793" s="9"/>
    </row>
    <row r="794">
      <c r="A794" s="8"/>
      <c r="B794" s="9"/>
      <c r="C794" s="9"/>
      <c r="D794" s="9"/>
      <c r="E794" s="9"/>
      <c r="F794" s="9"/>
      <c r="G794" s="9"/>
    </row>
    <row r="795">
      <c r="A795" s="8"/>
      <c r="B795" s="9"/>
      <c r="C795" s="9"/>
      <c r="D795" s="9"/>
      <c r="E795" s="9"/>
      <c r="F795" s="9"/>
      <c r="G795" s="9"/>
    </row>
    <row r="796">
      <c r="A796" s="8"/>
      <c r="B796" s="9"/>
      <c r="C796" s="9"/>
      <c r="D796" s="9"/>
      <c r="E796" s="9"/>
      <c r="F796" s="9"/>
      <c r="G796" s="9"/>
    </row>
    <row r="797">
      <c r="A797" s="8"/>
      <c r="B797" s="9"/>
      <c r="C797" s="9"/>
      <c r="D797" s="9"/>
      <c r="E797" s="9"/>
      <c r="F797" s="9"/>
      <c r="G797" s="9"/>
    </row>
    <row r="798">
      <c r="A798" s="8"/>
      <c r="B798" s="9"/>
      <c r="C798" s="9"/>
      <c r="D798" s="9"/>
      <c r="E798" s="9"/>
      <c r="F798" s="9"/>
      <c r="G798" s="9"/>
    </row>
    <row r="799">
      <c r="A799" s="8"/>
      <c r="B799" s="9"/>
      <c r="C799" s="9"/>
      <c r="D799" s="9"/>
      <c r="E799" s="9"/>
      <c r="F799" s="9"/>
      <c r="G799" s="9"/>
    </row>
    <row r="800">
      <c r="A800" s="8"/>
      <c r="B800" s="9"/>
      <c r="C800" s="9"/>
      <c r="D800" s="9"/>
      <c r="E800" s="9"/>
      <c r="F800" s="9"/>
      <c r="G800" s="9"/>
    </row>
    <row r="801">
      <c r="A801" s="8"/>
      <c r="B801" s="9"/>
      <c r="C801" s="9"/>
      <c r="D801" s="9"/>
      <c r="E801" s="9"/>
      <c r="F801" s="9"/>
      <c r="G801" s="9"/>
    </row>
    <row r="802">
      <c r="A802" s="8"/>
      <c r="B802" s="9"/>
      <c r="C802" s="9"/>
      <c r="D802" s="9"/>
      <c r="E802" s="9"/>
      <c r="F802" s="9"/>
      <c r="G802" s="9"/>
    </row>
    <row r="803">
      <c r="A803" s="8"/>
      <c r="B803" s="9"/>
      <c r="C803" s="9"/>
      <c r="D803" s="9"/>
      <c r="E803" s="9"/>
      <c r="F803" s="9"/>
      <c r="G803" s="9"/>
    </row>
    <row r="804">
      <c r="A804" s="8"/>
      <c r="B804" s="9"/>
      <c r="C804" s="9"/>
      <c r="D804" s="9"/>
      <c r="E804" s="9"/>
      <c r="F804" s="9"/>
      <c r="G804" s="9"/>
    </row>
    <row r="805">
      <c r="A805" s="8"/>
      <c r="B805" s="9"/>
      <c r="C805" s="9"/>
      <c r="D805" s="9"/>
      <c r="E805" s="9"/>
      <c r="F805" s="9"/>
      <c r="G805" s="9"/>
    </row>
    <row r="806">
      <c r="A806" s="8"/>
      <c r="B806" s="9"/>
      <c r="C806" s="9"/>
      <c r="D806" s="9"/>
      <c r="E806" s="9"/>
      <c r="F806" s="9"/>
      <c r="G806" s="9"/>
    </row>
    <row r="807">
      <c r="A807" s="8"/>
      <c r="B807" s="9"/>
      <c r="C807" s="9"/>
      <c r="D807" s="9"/>
      <c r="E807" s="9"/>
      <c r="F807" s="9"/>
      <c r="G807" s="9"/>
    </row>
    <row r="808">
      <c r="A808" s="8"/>
      <c r="B808" s="9"/>
      <c r="C808" s="9"/>
      <c r="D808" s="9"/>
      <c r="E808" s="9"/>
      <c r="F808" s="9"/>
      <c r="G808" s="9"/>
    </row>
    <row r="809">
      <c r="A809" s="8"/>
      <c r="B809" s="9"/>
      <c r="C809" s="9"/>
      <c r="D809" s="9"/>
      <c r="E809" s="9"/>
      <c r="F809" s="9"/>
      <c r="G809" s="9"/>
    </row>
    <row r="810">
      <c r="A810" s="8"/>
      <c r="B810" s="9"/>
      <c r="C810" s="9"/>
      <c r="D810" s="9"/>
      <c r="E810" s="9"/>
      <c r="F810" s="9"/>
      <c r="G810" s="9"/>
    </row>
    <row r="811">
      <c r="A811" s="8"/>
      <c r="B811" s="9"/>
      <c r="C811" s="9"/>
      <c r="D811" s="9"/>
      <c r="E811" s="9"/>
      <c r="F811" s="9"/>
      <c r="G811" s="9"/>
    </row>
    <row r="812">
      <c r="A812" s="8"/>
      <c r="B812" s="9"/>
      <c r="C812" s="9"/>
      <c r="D812" s="9"/>
      <c r="E812" s="9"/>
      <c r="F812" s="9"/>
      <c r="G812" s="9"/>
    </row>
    <row r="813">
      <c r="A813" s="8"/>
      <c r="B813" s="9"/>
      <c r="C813" s="9"/>
      <c r="D813" s="9"/>
      <c r="E813" s="9"/>
      <c r="F813" s="9"/>
      <c r="G813" s="9"/>
    </row>
    <row r="814">
      <c r="A814" s="8"/>
      <c r="B814" s="9"/>
      <c r="C814" s="9"/>
      <c r="D814" s="9"/>
      <c r="E814" s="9"/>
      <c r="F814" s="9"/>
      <c r="G814" s="9"/>
    </row>
    <row r="815">
      <c r="A815" s="8"/>
      <c r="B815" s="9"/>
      <c r="C815" s="9"/>
      <c r="D815" s="9"/>
      <c r="E815" s="9"/>
      <c r="F815" s="9"/>
      <c r="G815" s="9"/>
    </row>
    <row r="816">
      <c r="A816" s="8"/>
      <c r="B816" s="9"/>
      <c r="C816" s="9"/>
      <c r="D816" s="9"/>
      <c r="E816" s="9"/>
      <c r="F816" s="9"/>
      <c r="G816" s="9"/>
    </row>
    <row r="817">
      <c r="A817" s="8"/>
      <c r="B817" s="9"/>
      <c r="C817" s="9"/>
      <c r="D817" s="9"/>
      <c r="E817" s="9"/>
      <c r="F817" s="9"/>
      <c r="G817" s="9"/>
    </row>
    <row r="818">
      <c r="A818" s="8"/>
      <c r="B818" s="9"/>
      <c r="C818" s="9"/>
      <c r="D818" s="9"/>
      <c r="E818" s="9"/>
      <c r="F818" s="9"/>
      <c r="G818" s="9"/>
    </row>
    <row r="819">
      <c r="A819" s="8"/>
      <c r="B819" s="9"/>
      <c r="C819" s="9"/>
      <c r="D819" s="9"/>
      <c r="E819" s="9"/>
      <c r="F819" s="9"/>
      <c r="G819" s="9"/>
    </row>
    <row r="820">
      <c r="A820" s="8"/>
      <c r="B820" s="9"/>
      <c r="C820" s="9"/>
      <c r="D820" s="9"/>
      <c r="E820" s="9"/>
      <c r="F820" s="9"/>
      <c r="G820" s="9"/>
    </row>
    <row r="821">
      <c r="A821" s="8"/>
      <c r="B821" s="9"/>
      <c r="C821" s="9"/>
      <c r="D821" s="9"/>
      <c r="E821" s="9"/>
      <c r="F821" s="9"/>
      <c r="G821" s="9"/>
    </row>
    <row r="822">
      <c r="A822" s="8"/>
      <c r="B822" s="9"/>
      <c r="C822" s="9"/>
      <c r="D822" s="9"/>
      <c r="E822" s="9"/>
      <c r="F822" s="9"/>
      <c r="G822" s="9"/>
    </row>
    <row r="823">
      <c r="A823" s="8"/>
      <c r="B823" s="9"/>
      <c r="C823" s="9"/>
      <c r="D823" s="9"/>
      <c r="E823" s="9"/>
      <c r="F823" s="9"/>
      <c r="G823" s="9"/>
    </row>
    <row r="824">
      <c r="A824" s="8"/>
      <c r="B824" s="9"/>
      <c r="C824" s="9"/>
      <c r="D824" s="9"/>
      <c r="E824" s="9"/>
      <c r="F824" s="9"/>
      <c r="G824" s="9"/>
    </row>
    <row r="825">
      <c r="A825" s="8"/>
      <c r="B825" s="9"/>
      <c r="C825" s="9"/>
      <c r="D825" s="9"/>
      <c r="E825" s="9"/>
      <c r="F825" s="9"/>
      <c r="G825" s="9"/>
    </row>
    <row r="826">
      <c r="A826" s="8"/>
      <c r="B826" s="9"/>
      <c r="C826" s="9"/>
      <c r="D826" s="9"/>
      <c r="E826" s="9"/>
      <c r="F826" s="9"/>
      <c r="G826" s="9"/>
    </row>
    <row r="827">
      <c r="A827" s="8"/>
      <c r="B827" s="9"/>
      <c r="C827" s="9"/>
      <c r="D827" s="9"/>
      <c r="E827" s="9"/>
      <c r="F827" s="9"/>
      <c r="G827" s="9"/>
    </row>
    <row r="828">
      <c r="A828" s="8"/>
      <c r="B828" s="9"/>
      <c r="C828" s="9"/>
      <c r="D828" s="9"/>
      <c r="E828" s="9"/>
      <c r="F828" s="9"/>
      <c r="G828" s="9"/>
    </row>
    <row r="829">
      <c r="A829" s="8"/>
      <c r="B829" s="9"/>
      <c r="C829" s="9"/>
      <c r="D829" s="9"/>
      <c r="E829" s="9"/>
      <c r="F829" s="9"/>
      <c r="G829" s="9"/>
    </row>
    <row r="830">
      <c r="A830" s="8"/>
      <c r="B830" s="9"/>
      <c r="C830" s="9"/>
      <c r="D830" s="9"/>
      <c r="E830" s="9"/>
      <c r="F830" s="9"/>
      <c r="G830" s="9"/>
    </row>
    <row r="831">
      <c r="A831" s="8"/>
      <c r="B831" s="9"/>
      <c r="C831" s="9"/>
      <c r="D831" s="9"/>
      <c r="E831" s="9"/>
      <c r="F831" s="9"/>
      <c r="G831" s="9"/>
    </row>
    <row r="832">
      <c r="A832" s="8"/>
      <c r="B832" s="9"/>
      <c r="C832" s="9"/>
      <c r="D832" s="9"/>
      <c r="E832" s="9"/>
      <c r="F832" s="9"/>
      <c r="G832" s="9"/>
    </row>
    <row r="833">
      <c r="A833" s="8"/>
      <c r="B833" s="9"/>
      <c r="C833" s="9"/>
      <c r="D833" s="9"/>
      <c r="E833" s="9"/>
      <c r="F833" s="9"/>
      <c r="G833" s="9"/>
    </row>
    <row r="834">
      <c r="A834" s="8"/>
      <c r="B834" s="9"/>
      <c r="C834" s="9"/>
      <c r="D834" s="9"/>
      <c r="E834" s="9"/>
      <c r="F834" s="9"/>
      <c r="G834" s="9"/>
    </row>
    <row r="835">
      <c r="A835" s="8"/>
      <c r="B835" s="9"/>
      <c r="C835" s="9"/>
      <c r="D835" s="9"/>
      <c r="E835" s="9"/>
      <c r="F835" s="9"/>
      <c r="G835" s="9"/>
    </row>
    <row r="836">
      <c r="A836" s="8"/>
      <c r="B836" s="9"/>
      <c r="C836" s="9"/>
      <c r="D836" s="9"/>
      <c r="E836" s="9"/>
      <c r="F836" s="9"/>
      <c r="G836" s="9"/>
    </row>
    <row r="837">
      <c r="A837" s="8"/>
      <c r="B837" s="9"/>
      <c r="C837" s="9"/>
      <c r="D837" s="9"/>
      <c r="E837" s="9"/>
      <c r="F837" s="9"/>
      <c r="G837" s="9"/>
    </row>
    <row r="838">
      <c r="A838" s="8"/>
      <c r="B838" s="9"/>
      <c r="C838" s="9"/>
      <c r="D838" s="9"/>
      <c r="E838" s="9"/>
      <c r="F838" s="9"/>
      <c r="G838" s="9"/>
    </row>
    <row r="839">
      <c r="A839" s="8"/>
      <c r="B839" s="9"/>
      <c r="C839" s="9"/>
      <c r="D839" s="9"/>
      <c r="E839" s="9"/>
      <c r="F839" s="9"/>
      <c r="G839" s="9"/>
    </row>
    <row r="840">
      <c r="A840" s="8"/>
      <c r="B840" s="9"/>
      <c r="C840" s="9"/>
      <c r="D840" s="9"/>
      <c r="E840" s="9"/>
      <c r="F840" s="9"/>
      <c r="G840" s="9"/>
    </row>
    <row r="841">
      <c r="A841" s="8"/>
      <c r="B841" s="9"/>
      <c r="C841" s="9"/>
      <c r="D841" s="9"/>
      <c r="E841" s="9"/>
      <c r="F841" s="9"/>
      <c r="G841" s="9"/>
    </row>
    <row r="842">
      <c r="A842" s="8"/>
      <c r="B842" s="9"/>
      <c r="C842" s="9"/>
      <c r="D842" s="9"/>
      <c r="E842" s="9"/>
      <c r="F842" s="9"/>
      <c r="G842" s="9"/>
    </row>
    <row r="843">
      <c r="A843" s="8"/>
      <c r="B843" s="9"/>
      <c r="C843" s="9"/>
      <c r="D843" s="9"/>
      <c r="E843" s="9"/>
      <c r="F843" s="9"/>
      <c r="G843" s="9"/>
    </row>
    <row r="844">
      <c r="A844" s="8"/>
      <c r="B844" s="9"/>
      <c r="C844" s="9"/>
      <c r="D844" s="9"/>
      <c r="E844" s="9"/>
      <c r="F844" s="9"/>
      <c r="G844" s="9"/>
    </row>
    <row r="845">
      <c r="A845" s="8"/>
      <c r="B845" s="9"/>
      <c r="C845" s="9"/>
      <c r="D845" s="9"/>
      <c r="E845" s="9"/>
      <c r="F845" s="9"/>
      <c r="G845" s="9"/>
    </row>
    <row r="846">
      <c r="A846" s="8"/>
      <c r="B846" s="9"/>
      <c r="C846" s="9"/>
      <c r="D846" s="9"/>
      <c r="E846" s="9"/>
      <c r="F846" s="9"/>
      <c r="G846" s="9"/>
    </row>
    <row r="847">
      <c r="A847" s="8"/>
      <c r="B847" s="9"/>
      <c r="C847" s="9"/>
      <c r="D847" s="9"/>
      <c r="E847" s="9"/>
      <c r="F847" s="9"/>
      <c r="G847" s="9"/>
    </row>
    <row r="848">
      <c r="A848" s="8"/>
      <c r="B848" s="9"/>
      <c r="C848" s="9"/>
      <c r="D848" s="9"/>
      <c r="E848" s="9"/>
      <c r="F848" s="9"/>
      <c r="G848" s="9"/>
    </row>
    <row r="849">
      <c r="A849" s="8"/>
      <c r="B849" s="9"/>
      <c r="C849" s="9"/>
      <c r="D849" s="9"/>
      <c r="E849" s="9"/>
      <c r="F849" s="9"/>
      <c r="G849" s="9"/>
    </row>
    <row r="850">
      <c r="A850" s="8"/>
      <c r="B850" s="9"/>
      <c r="C850" s="9"/>
      <c r="D850" s="9"/>
      <c r="E850" s="9"/>
      <c r="F850" s="9"/>
      <c r="G850" s="9"/>
    </row>
    <row r="851">
      <c r="A851" s="8"/>
      <c r="B851" s="9"/>
      <c r="C851" s="9"/>
      <c r="D851" s="9"/>
      <c r="E851" s="9"/>
      <c r="F851" s="9"/>
      <c r="G851" s="9"/>
    </row>
    <row r="852">
      <c r="A852" s="8"/>
      <c r="B852" s="9"/>
      <c r="C852" s="9"/>
      <c r="D852" s="9"/>
      <c r="E852" s="9"/>
      <c r="F852" s="9"/>
      <c r="G852" s="9"/>
    </row>
    <row r="853">
      <c r="A853" s="8"/>
      <c r="B853" s="9"/>
      <c r="C853" s="9"/>
      <c r="D853" s="9"/>
      <c r="E853" s="9"/>
      <c r="F853" s="9"/>
      <c r="G853" s="9"/>
    </row>
    <row r="854">
      <c r="A854" s="8"/>
      <c r="B854" s="9"/>
      <c r="C854" s="9"/>
      <c r="D854" s="9"/>
      <c r="E854" s="9"/>
      <c r="F854" s="9"/>
      <c r="G854" s="9"/>
    </row>
    <row r="855">
      <c r="A855" s="8"/>
      <c r="B855" s="9"/>
      <c r="C855" s="9"/>
      <c r="D855" s="9"/>
      <c r="E855" s="9"/>
      <c r="F855" s="9"/>
      <c r="G855" s="9"/>
    </row>
    <row r="856">
      <c r="A856" s="8"/>
      <c r="B856" s="9"/>
      <c r="C856" s="9"/>
      <c r="D856" s="9"/>
      <c r="E856" s="9"/>
      <c r="F856" s="9"/>
      <c r="G856" s="9"/>
    </row>
    <row r="857">
      <c r="A857" s="8"/>
      <c r="B857" s="9"/>
      <c r="C857" s="9"/>
      <c r="D857" s="9"/>
      <c r="E857" s="9"/>
      <c r="F857" s="9"/>
      <c r="G857" s="9"/>
    </row>
    <row r="858">
      <c r="A858" s="8"/>
      <c r="B858" s="9"/>
      <c r="C858" s="9"/>
      <c r="D858" s="9"/>
      <c r="E858" s="9"/>
      <c r="F858" s="9"/>
      <c r="G858" s="9"/>
    </row>
    <row r="859">
      <c r="A859" s="8"/>
      <c r="B859" s="9"/>
      <c r="C859" s="9"/>
      <c r="D859" s="9"/>
      <c r="E859" s="9"/>
      <c r="F859" s="9"/>
      <c r="G859" s="9"/>
    </row>
    <row r="860">
      <c r="A860" s="8"/>
      <c r="B860" s="9"/>
      <c r="C860" s="9"/>
      <c r="D860" s="9"/>
      <c r="E860" s="9"/>
      <c r="F860" s="9"/>
      <c r="G860" s="9"/>
    </row>
    <row r="861">
      <c r="A861" s="8"/>
      <c r="B861" s="9"/>
      <c r="C861" s="9"/>
      <c r="D861" s="9"/>
      <c r="E861" s="9"/>
      <c r="F861" s="9"/>
      <c r="G861" s="9"/>
    </row>
    <row r="862">
      <c r="A862" s="8"/>
      <c r="B862" s="9"/>
      <c r="C862" s="9"/>
      <c r="D862" s="9"/>
      <c r="E862" s="9"/>
      <c r="F862" s="9"/>
      <c r="G862" s="9"/>
    </row>
    <row r="863">
      <c r="A863" s="8"/>
      <c r="B863" s="9"/>
      <c r="C863" s="9"/>
      <c r="D863" s="9"/>
      <c r="E863" s="9"/>
      <c r="F863" s="9"/>
      <c r="G863" s="9"/>
    </row>
    <row r="864">
      <c r="A864" s="8"/>
      <c r="B864" s="9"/>
      <c r="C864" s="9"/>
      <c r="D864" s="9"/>
      <c r="E864" s="9"/>
      <c r="F864" s="9"/>
      <c r="G864" s="9"/>
    </row>
    <row r="865">
      <c r="A865" s="8"/>
      <c r="B865" s="9"/>
      <c r="C865" s="9"/>
      <c r="D865" s="9"/>
      <c r="E865" s="9"/>
      <c r="F865" s="9"/>
      <c r="G865" s="9"/>
    </row>
    <row r="866">
      <c r="A866" s="8"/>
      <c r="B866" s="9"/>
      <c r="C866" s="9"/>
      <c r="D866" s="9"/>
      <c r="E866" s="9"/>
      <c r="F866" s="9"/>
      <c r="G866" s="9"/>
    </row>
    <row r="867">
      <c r="A867" s="8"/>
      <c r="B867" s="9"/>
      <c r="C867" s="9"/>
      <c r="D867" s="9"/>
      <c r="E867" s="9"/>
      <c r="F867" s="9"/>
      <c r="G867" s="9"/>
    </row>
    <row r="868">
      <c r="A868" s="8"/>
      <c r="B868" s="9"/>
      <c r="C868" s="9"/>
      <c r="D868" s="9"/>
      <c r="E868" s="9"/>
      <c r="F868" s="9"/>
      <c r="G868" s="9"/>
    </row>
    <row r="869">
      <c r="A869" s="8"/>
      <c r="B869" s="9"/>
      <c r="C869" s="9"/>
      <c r="D869" s="9"/>
      <c r="E869" s="9"/>
      <c r="F869" s="9"/>
      <c r="G869" s="9"/>
    </row>
    <row r="870">
      <c r="A870" s="8"/>
      <c r="B870" s="9"/>
      <c r="C870" s="9"/>
      <c r="D870" s="9"/>
      <c r="E870" s="9"/>
      <c r="F870" s="9"/>
      <c r="G870" s="9"/>
    </row>
    <row r="871">
      <c r="A871" s="8"/>
      <c r="B871" s="9"/>
      <c r="C871" s="9"/>
      <c r="D871" s="9"/>
      <c r="E871" s="9"/>
      <c r="F871" s="9"/>
      <c r="G871" s="9"/>
    </row>
    <row r="872">
      <c r="A872" s="8"/>
      <c r="B872" s="9"/>
      <c r="C872" s="9"/>
      <c r="D872" s="9"/>
      <c r="E872" s="9"/>
      <c r="F872" s="9"/>
      <c r="G872" s="9"/>
    </row>
    <row r="873">
      <c r="A873" s="8"/>
      <c r="B873" s="9"/>
      <c r="C873" s="9"/>
      <c r="D873" s="9"/>
      <c r="E873" s="9"/>
      <c r="F873" s="9"/>
      <c r="G873" s="9"/>
    </row>
    <row r="874">
      <c r="A874" s="8"/>
      <c r="B874" s="9"/>
      <c r="C874" s="9"/>
      <c r="D874" s="9"/>
      <c r="E874" s="9"/>
      <c r="F874" s="9"/>
      <c r="G874" s="9"/>
    </row>
    <row r="875">
      <c r="A875" s="8"/>
      <c r="B875" s="9"/>
      <c r="C875" s="9"/>
      <c r="D875" s="9"/>
      <c r="E875" s="9"/>
      <c r="F875" s="9"/>
      <c r="G875" s="9"/>
    </row>
    <row r="876">
      <c r="A876" s="8"/>
      <c r="B876" s="9"/>
      <c r="C876" s="9"/>
      <c r="D876" s="9"/>
      <c r="E876" s="9"/>
      <c r="F876" s="9"/>
      <c r="G876" s="9"/>
    </row>
    <row r="877">
      <c r="A877" s="8"/>
      <c r="B877" s="9"/>
      <c r="C877" s="9"/>
      <c r="D877" s="9"/>
      <c r="E877" s="9"/>
      <c r="F877" s="9"/>
      <c r="G877" s="9"/>
    </row>
    <row r="878">
      <c r="A878" s="8"/>
      <c r="B878" s="9"/>
      <c r="C878" s="9"/>
      <c r="D878" s="9"/>
      <c r="E878" s="9"/>
      <c r="F878" s="9"/>
      <c r="G878" s="9"/>
    </row>
    <row r="879">
      <c r="A879" s="8"/>
      <c r="B879" s="9"/>
      <c r="C879" s="9"/>
      <c r="D879" s="9"/>
      <c r="E879" s="9"/>
      <c r="F879" s="9"/>
      <c r="G879" s="9"/>
    </row>
    <row r="880">
      <c r="A880" s="8"/>
      <c r="B880" s="9"/>
      <c r="C880" s="9"/>
      <c r="D880" s="9"/>
      <c r="E880" s="9"/>
      <c r="F880" s="9"/>
      <c r="G880" s="9"/>
    </row>
    <row r="881">
      <c r="A881" s="8"/>
      <c r="B881" s="9"/>
      <c r="C881" s="9"/>
      <c r="D881" s="9"/>
      <c r="E881" s="9"/>
      <c r="F881" s="9"/>
      <c r="G881" s="9"/>
    </row>
    <row r="882">
      <c r="A882" s="8"/>
      <c r="B882" s="9"/>
      <c r="C882" s="9"/>
      <c r="D882" s="9"/>
      <c r="E882" s="9"/>
      <c r="F882" s="9"/>
      <c r="G882" s="9"/>
    </row>
    <row r="883">
      <c r="A883" s="8"/>
      <c r="B883" s="9"/>
      <c r="C883" s="9"/>
      <c r="D883" s="9"/>
      <c r="E883" s="9"/>
      <c r="F883" s="9"/>
      <c r="G883" s="9"/>
    </row>
    <row r="884">
      <c r="A884" s="8"/>
      <c r="B884" s="9"/>
      <c r="C884" s="9"/>
      <c r="D884" s="9"/>
      <c r="E884" s="9"/>
      <c r="F884" s="9"/>
      <c r="G884" s="9"/>
    </row>
    <row r="885">
      <c r="A885" s="8"/>
      <c r="B885" s="9"/>
      <c r="C885" s="9"/>
      <c r="D885" s="9"/>
      <c r="E885" s="9"/>
      <c r="F885" s="9"/>
      <c r="G885" s="9"/>
    </row>
    <row r="886">
      <c r="A886" s="8"/>
      <c r="B886" s="9"/>
      <c r="C886" s="9"/>
      <c r="D886" s="9"/>
      <c r="E886" s="9"/>
      <c r="F886" s="9"/>
      <c r="G886" s="9"/>
    </row>
    <row r="887">
      <c r="A887" s="8"/>
      <c r="B887" s="9"/>
      <c r="C887" s="9"/>
      <c r="D887" s="9"/>
      <c r="E887" s="9"/>
      <c r="F887" s="9"/>
      <c r="G887" s="9"/>
    </row>
    <row r="888">
      <c r="A888" s="8"/>
      <c r="B888" s="9"/>
      <c r="C888" s="9"/>
      <c r="D888" s="9"/>
      <c r="E888" s="9"/>
      <c r="F888" s="9"/>
      <c r="G888" s="9"/>
    </row>
    <row r="889">
      <c r="A889" s="8"/>
      <c r="B889" s="9"/>
      <c r="C889" s="9"/>
      <c r="D889" s="9"/>
      <c r="E889" s="9"/>
      <c r="F889" s="9"/>
      <c r="G889" s="9"/>
    </row>
    <row r="890">
      <c r="A890" s="8"/>
      <c r="B890" s="9"/>
      <c r="C890" s="9"/>
      <c r="D890" s="9"/>
      <c r="E890" s="9"/>
      <c r="F890" s="9"/>
      <c r="G890" s="9"/>
    </row>
    <row r="891">
      <c r="A891" s="8"/>
      <c r="B891" s="9"/>
      <c r="C891" s="9"/>
      <c r="D891" s="9"/>
      <c r="E891" s="9"/>
      <c r="F891" s="9"/>
      <c r="G891" s="9"/>
    </row>
    <row r="892">
      <c r="A892" s="8"/>
      <c r="B892" s="9"/>
      <c r="C892" s="9"/>
      <c r="D892" s="9"/>
      <c r="E892" s="9"/>
      <c r="F892" s="9"/>
      <c r="G892" s="9"/>
    </row>
    <row r="893">
      <c r="A893" s="8"/>
      <c r="B893" s="9"/>
      <c r="C893" s="9"/>
      <c r="D893" s="9"/>
      <c r="E893" s="9"/>
      <c r="F893" s="9"/>
      <c r="G893" s="9"/>
    </row>
    <row r="894">
      <c r="A894" s="8"/>
      <c r="B894" s="9"/>
      <c r="C894" s="9"/>
      <c r="D894" s="9"/>
      <c r="E894" s="9"/>
      <c r="F894" s="9"/>
      <c r="G894" s="9"/>
    </row>
    <row r="895">
      <c r="A895" s="8"/>
      <c r="B895" s="9"/>
      <c r="C895" s="9"/>
      <c r="D895" s="9"/>
      <c r="E895" s="9"/>
      <c r="F895" s="9"/>
      <c r="G895" s="9"/>
    </row>
    <row r="896">
      <c r="A896" s="8"/>
      <c r="B896" s="9"/>
      <c r="C896" s="9"/>
      <c r="D896" s="9"/>
      <c r="E896" s="9"/>
      <c r="F896" s="9"/>
      <c r="G896" s="9"/>
    </row>
    <row r="897">
      <c r="A897" s="8"/>
      <c r="B897" s="9"/>
      <c r="C897" s="9"/>
      <c r="D897" s="9"/>
      <c r="E897" s="9"/>
      <c r="F897" s="9"/>
      <c r="G897" s="9"/>
    </row>
    <row r="898">
      <c r="A898" s="8"/>
      <c r="B898" s="9"/>
      <c r="C898" s="9"/>
      <c r="D898" s="9"/>
      <c r="E898" s="9"/>
      <c r="F898" s="9"/>
      <c r="G898" s="9"/>
    </row>
    <row r="899">
      <c r="A899" s="8"/>
      <c r="B899" s="9"/>
      <c r="C899" s="9"/>
      <c r="D899" s="9"/>
      <c r="E899" s="9"/>
      <c r="F899" s="9"/>
      <c r="G899" s="9"/>
    </row>
    <row r="900">
      <c r="A900" s="8"/>
      <c r="B900" s="9"/>
      <c r="C900" s="9"/>
      <c r="D900" s="9"/>
      <c r="E900" s="9"/>
      <c r="F900" s="9"/>
      <c r="G900" s="9"/>
    </row>
    <row r="901">
      <c r="A901" s="8"/>
      <c r="B901" s="9"/>
      <c r="C901" s="9"/>
      <c r="D901" s="9"/>
      <c r="E901" s="9"/>
      <c r="F901" s="9"/>
      <c r="G901" s="9"/>
    </row>
    <row r="902">
      <c r="A902" s="8"/>
      <c r="B902" s="9"/>
      <c r="C902" s="9"/>
      <c r="D902" s="9"/>
      <c r="E902" s="9"/>
      <c r="F902" s="9"/>
      <c r="G902" s="9"/>
    </row>
    <row r="903">
      <c r="A903" s="8"/>
      <c r="B903" s="9"/>
      <c r="C903" s="9"/>
      <c r="D903" s="9"/>
      <c r="E903" s="9"/>
      <c r="F903" s="9"/>
      <c r="G903" s="9"/>
    </row>
    <row r="904">
      <c r="A904" s="8"/>
      <c r="B904" s="9"/>
      <c r="C904" s="9"/>
      <c r="D904" s="9"/>
      <c r="E904" s="9"/>
      <c r="F904" s="9"/>
      <c r="G904" s="9"/>
    </row>
    <row r="905">
      <c r="A905" s="8"/>
      <c r="B905" s="9"/>
      <c r="C905" s="9"/>
      <c r="D905" s="9"/>
      <c r="E905" s="9"/>
      <c r="F905" s="9"/>
      <c r="G905" s="9"/>
    </row>
    <row r="906">
      <c r="A906" s="8"/>
      <c r="B906" s="9"/>
      <c r="C906" s="9"/>
      <c r="D906" s="9"/>
      <c r="E906" s="9"/>
      <c r="F906" s="9"/>
      <c r="G906" s="9"/>
    </row>
    <row r="907">
      <c r="A907" s="8"/>
      <c r="B907" s="9"/>
      <c r="C907" s="9"/>
      <c r="D907" s="9"/>
      <c r="E907" s="9"/>
      <c r="F907" s="9"/>
      <c r="G907" s="9"/>
    </row>
    <row r="908">
      <c r="A908" s="8"/>
      <c r="B908" s="9"/>
      <c r="C908" s="9"/>
      <c r="D908" s="9"/>
      <c r="E908" s="9"/>
      <c r="F908" s="9"/>
      <c r="G908" s="9"/>
    </row>
    <row r="909">
      <c r="A909" s="8"/>
      <c r="B909" s="9"/>
      <c r="C909" s="9"/>
      <c r="D909" s="9"/>
      <c r="E909" s="9"/>
      <c r="F909" s="9"/>
      <c r="G909" s="9"/>
    </row>
    <row r="910">
      <c r="A910" s="8"/>
      <c r="B910" s="9"/>
      <c r="C910" s="9"/>
      <c r="D910" s="9"/>
      <c r="E910" s="9"/>
      <c r="F910" s="9"/>
      <c r="G910" s="9"/>
    </row>
    <row r="911">
      <c r="A911" s="8"/>
      <c r="B911" s="9"/>
      <c r="C911" s="9"/>
      <c r="D911" s="9"/>
      <c r="E911" s="9"/>
      <c r="F911" s="9"/>
      <c r="G911" s="9"/>
    </row>
    <row r="912">
      <c r="A912" s="8"/>
      <c r="B912" s="9"/>
      <c r="C912" s="9"/>
      <c r="D912" s="9"/>
      <c r="E912" s="9"/>
      <c r="F912" s="9"/>
      <c r="G912" s="9"/>
    </row>
    <row r="913">
      <c r="A913" s="8"/>
      <c r="B913" s="9"/>
      <c r="C913" s="9"/>
      <c r="D913" s="9"/>
      <c r="E913" s="9"/>
      <c r="F913" s="9"/>
      <c r="G913" s="9"/>
    </row>
    <row r="914">
      <c r="A914" s="8"/>
      <c r="B914" s="9"/>
      <c r="C914" s="9"/>
      <c r="D914" s="9"/>
      <c r="E914" s="9"/>
      <c r="F914" s="9"/>
      <c r="G914" s="9"/>
    </row>
    <row r="915">
      <c r="A915" s="8"/>
      <c r="B915" s="9"/>
      <c r="C915" s="9"/>
      <c r="D915" s="9"/>
      <c r="E915" s="9"/>
      <c r="F915" s="9"/>
      <c r="G915" s="9"/>
    </row>
    <row r="916">
      <c r="A916" s="8"/>
      <c r="B916" s="9"/>
      <c r="C916" s="9"/>
      <c r="D916" s="9"/>
      <c r="E916" s="9"/>
      <c r="F916" s="9"/>
      <c r="G916" s="9"/>
    </row>
    <row r="917">
      <c r="A917" s="8"/>
      <c r="B917" s="9"/>
      <c r="C917" s="9"/>
      <c r="D917" s="9"/>
      <c r="E917" s="9"/>
      <c r="F917" s="9"/>
      <c r="G917" s="9"/>
    </row>
    <row r="918">
      <c r="A918" s="8"/>
      <c r="B918" s="9"/>
      <c r="C918" s="9"/>
      <c r="D918" s="9"/>
      <c r="E918" s="9"/>
      <c r="F918" s="9"/>
      <c r="G918" s="9"/>
    </row>
    <row r="919">
      <c r="A919" s="8"/>
      <c r="B919" s="9"/>
      <c r="C919" s="9"/>
      <c r="D919" s="9"/>
      <c r="E919" s="9"/>
      <c r="F919" s="9"/>
      <c r="G919" s="9"/>
    </row>
    <row r="920">
      <c r="A920" s="8"/>
      <c r="B920" s="9"/>
      <c r="C920" s="9"/>
      <c r="D920" s="9"/>
      <c r="E920" s="9"/>
      <c r="F920" s="9"/>
      <c r="G920" s="9"/>
    </row>
    <row r="921">
      <c r="A921" s="8"/>
      <c r="B921" s="9"/>
      <c r="C921" s="9"/>
      <c r="D921" s="9"/>
      <c r="E921" s="9"/>
      <c r="F921" s="9"/>
      <c r="G921" s="9"/>
    </row>
    <row r="922">
      <c r="A922" s="8"/>
      <c r="B922" s="9"/>
      <c r="C922" s="9"/>
      <c r="D922" s="9"/>
      <c r="E922" s="9"/>
      <c r="F922" s="9"/>
      <c r="G922" s="9"/>
    </row>
    <row r="923">
      <c r="A923" s="8"/>
      <c r="B923" s="9"/>
      <c r="C923" s="9"/>
      <c r="D923" s="9"/>
      <c r="E923" s="9"/>
      <c r="F923" s="9"/>
      <c r="G923" s="9"/>
    </row>
    <row r="924">
      <c r="A924" s="8"/>
      <c r="B924" s="9"/>
      <c r="C924" s="9"/>
      <c r="D924" s="9"/>
      <c r="E924" s="9"/>
      <c r="F924" s="9"/>
      <c r="G924" s="9"/>
    </row>
    <row r="925">
      <c r="A925" s="8"/>
      <c r="B925" s="9"/>
      <c r="C925" s="9"/>
      <c r="D925" s="9"/>
      <c r="E925" s="9"/>
      <c r="F925" s="9"/>
      <c r="G925" s="9"/>
    </row>
    <row r="926">
      <c r="A926" s="8"/>
      <c r="B926" s="9"/>
      <c r="C926" s="9"/>
      <c r="D926" s="9"/>
      <c r="E926" s="9"/>
      <c r="F926" s="9"/>
      <c r="G926" s="9"/>
    </row>
    <row r="927">
      <c r="A927" s="8"/>
      <c r="B927" s="9"/>
      <c r="C927" s="9"/>
      <c r="D927" s="9"/>
      <c r="E927" s="9"/>
      <c r="F927" s="9"/>
      <c r="G927" s="9"/>
    </row>
    <row r="928">
      <c r="A928" s="8"/>
      <c r="B928" s="9"/>
      <c r="C928" s="9"/>
      <c r="D928" s="9"/>
      <c r="E928" s="9"/>
      <c r="F928" s="9"/>
      <c r="G928" s="9"/>
    </row>
    <row r="929">
      <c r="A929" s="8"/>
      <c r="B929" s="9"/>
      <c r="C929" s="9"/>
      <c r="D929" s="9"/>
      <c r="E929" s="9"/>
      <c r="F929" s="9"/>
      <c r="G929" s="9"/>
    </row>
    <row r="930">
      <c r="A930" s="8"/>
      <c r="B930" s="9"/>
      <c r="C930" s="9"/>
      <c r="D930" s="9"/>
      <c r="E930" s="9"/>
      <c r="F930" s="9"/>
      <c r="G930" s="9"/>
    </row>
    <row r="931">
      <c r="A931" s="8"/>
      <c r="B931" s="9"/>
      <c r="C931" s="9"/>
      <c r="D931" s="9"/>
      <c r="E931" s="9"/>
      <c r="F931" s="9"/>
      <c r="G931" s="9"/>
    </row>
    <row r="932">
      <c r="A932" s="8"/>
      <c r="B932" s="9"/>
      <c r="C932" s="9"/>
      <c r="D932" s="9"/>
      <c r="E932" s="9"/>
      <c r="F932" s="9"/>
      <c r="G932" s="9"/>
    </row>
    <row r="933">
      <c r="A933" s="8"/>
      <c r="B933" s="9"/>
      <c r="C933" s="9"/>
      <c r="D933" s="9"/>
      <c r="E933" s="9"/>
      <c r="F933" s="9"/>
      <c r="G933" s="9"/>
    </row>
    <row r="934">
      <c r="A934" s="8"/>
      <c r="B934" s="9"/>
      <c r="C934" s="9"/>
      <c r="D934" s="9"/>
      <c r="E934" s="9"/>
      <c r="F934" s="9"/>
      <c r="G934" s="9"/>
    </row>
    <row r="935">
      <c r="A935" s="8"/>
      <c r="B935" s="9"/>
      <c r="C935" s="9"/>
      <c r="D935" s="9"/>
      <c r="E935" s="9"/>
      <c r="F935" s="9"/>
      <c r="G935" s="9"/>
    </row>
    <row r="936">
      <c r="A936" s="8"/>
      <c r="B936" s="9"/>
      <c r="C936" s="9"/>
      <c r="D936" s="9"/>
      <c r="E936" s="9"/>
      <c r="F936" s="9"/>
      <c r="G936" s="9"/>
    </row>
    <row r="937">
      <c r="A937" s="8"/>
      <c r="B937" s="9"/>
      <c r="C937" s="9"/>
      <c r="D937" s="9"/>
      <c r="E937" s="9"/>
      <c r="F937" s="9"/>
      <c r="G937" s="9"/>
    </row>
    <row r="938">
      <c r="A938" s="8"/>
      <c r="B938" s="9"/>
      <c r="C938" s="9"/>
      <c r="D938" s="9"/>
      <c r="E938" s="9"/>
      <c r="F938" s="9"/>
      <c r="G938" s="9"/>
    </row>
    <row r="939">
      <c r="A939" s="8"/>
      <c r="B939" s="9"/>
      <c r="C939" s="9"/>
      <c r="D939" s="9"/>
      <c r="E939" s="9"/>
      <c r="F939" s="9"/>
      <c r="G939" s="9"/>
    </row>
    <row r="940">
      <c r="A940" s="8"/>
      <c r="B940" s="9"/>
      <c r="C940" s="9"/>
      <c r="D940" s="9"/>
      <c r="E940" s="9"/>
      <c r="F940" s="9"/>
      <c r="G940" s="9"/>
    </row>
    <row r="941">
      <c r="A941" s="8"/>
      <c r="B941" s="9"/>
      <c r="C941" s="9"/>
      <c r="D941" s="9"/>
      <c r="E941" s="9"/>
      <c r="F941" s="9"/>
      <c r="G941" s="9"/>
    </row>
    <row r="942">
      <c r="A942" s="8"/>
      <c r="B942" s="9"/>
      <c r="C942" s="9"/>
      <c r="D942" s="9"/>
      <c r="E942" s="9"/>
      <c r="F942" s="9"/>
      <c r="G942" s="9"/>
    </row>
    <row r="943">
      <c r="A943" s="8"/>
      <c r="B943" s="9"/>
      <c r="C943" s="9"/>
      <c r="D943" s="9"/>
      <c r="E943" s="9"/>
      <c r="F943" s="9"/>
      <c r="G943" s="9"/>
    </row>
    <row r="944">
      <c r="A944" s="8"/>
      <c r="B944" s="9"/>
      <c r="C944" s="9"/>
      <c r="D944" s="9"/>
      <c r="E944" s="9"/>
      <c r="F944" s="9"/>
      <c r="G944" s="9"/>
    </row>
    <row r="945">
      <c r="A945" s="8"/>
      <c r="B945" s="9"/>
      <c r="C945" s="9"/>
      <c r="D945" s="9"/>
      <c r="E945" s="9"/>
      <c r="F945" s="9"/>
      <c r="G945" s="9"/>
    </row>
    <row r="946">
      <c r="A946" s="8"/>
      <c r="B946" s="9"/>
      <c r="C946" s="9"/>
      <c r="D946" s="9"/>
      <c r="E946" s="9"/>
      <c r="F946" s="9"/>
      <c r="G946" s="9"/>
    </row>
    <row r="947">
      <c r="A947" s="8"/>
      <c r="B947" s="9"/>
      <c r="C947" s="9"/>
      <c r="D947" s="9"/>
      <c r="E947" s="9"/>
      <c r="F947" s="9"/>
      <c r="G947" s="9"/>
    </row>
    <row r="948">
      <c r="A948" s="8"/>
      <c r="B948" s="9"/>
      <c r="C948" s="9"/>
      <c r="D948" s="9"/>
      <c r="E948" s="9"/>
      <c r="F948" s="9"/>
      <c r="G948" s="9"/>
    </row>
    <row r="949">
      <c r="A949" s="8"/>
      <c r="B949" s="9"/>
      <c r="C949" s="9"/>
      <c r="D949" s="9"/>
      <c r="E949" s="9"/>
      <c r="F949" s="9"/>
      <c r="G949" s="9"/>
    </row>
    <row r="950">
      <c r="A950" s="8"/>
      <c r="B950" s="9"/>
      <c r="C950" s="9"/>
      <c r="D950" s="9"/>
      <c r="E950" s="9"/>
      <c r="F950" s="9"/>
      <c r="G950" s="9"/>
    </row>
    <row r="951">
      <c r="A951" s="8"/>
      <c r="B951" s="9"/>
      <c r="C951" s="9"/>
      <c r="D951" s="9"/>
      <c r="E951" s="9"/>
      <c r="F951" s="9"/>
      <c r="G951" s="9"/>
    </row>
    <row r="952">
      <c r="A952" s="8"/>
      <c r="B952" s="9"/>
      <c r="C952" s="9"/>
      <c r="D952" s="9"/>
      <c r="E952" s="9"/>
      <c r="F952" s="9"/>
      <c r="G952" s="9"/>
    </row>
    <row r="953">
      <c r="A953" s="8"/>
      <c r="B953" s="9"/>
      <c r="C953" s="9"/>
      <c r="D953" s="9"/>
      <c r="E953" s="9"/>
      <c r="F953" s="9"/>
      <c r="G953" s="9"/>
    </row>
    <row r="954">
      <c r="A954" s="8"/>
      <c r="B954" s="9"/>
      <c r="C954" s="9"/>
      <c r="D954" s="9"/>
      <c r="E954" s="9"/>
      <c r="F954" s="9"/>
      <c r="G954" s="9"/>
    </row>
    <row r="955">
      <c r="A955" s="8"/>
      <c r="B955" s="9"/>
      <c r="C955" s="9"/>
      <c r="D955" s="9"/>
      <c r="E955" s="9"/>
      <c r="F955" s="9"/>
      <c r="G955" s="9"/>
    </row>
    <row r="956">
      <c r="A956" s="8"/>
      <c r="B956" s="9"/>
      <c r="C956" s="9"/>
      <c r="D956" s="9"/>
      <c r="E956" s="9"/>
      <c r="F956" s="9"/>
      <c r="G956" s="9"/>
    </row>
    <row r="957">
      <c r="A957" s="8"/>
      <c r="B957" s="9"/>
      <c r="C957" s="9"/>
      <c r="D957" s="9"/>
      <c r="E957" s="9"/>
      <c r="F957" s="9"/>
      <c r="G957" s="9"/>
    </row>
    <row r="958">
      <c r="A958" s="8"/>
      <c r="B958" s="9"/>
      <c r="C958" s="9"/>
      <c r="D958" s="9"/>
      <c r="E958" s="9"/>
      <c r="F958" s="9"/>
      <c r="G958" s="9"/>
    </row>
    <row r="959">
      <c r="A959" s="8"/>
      <c r="B959" s="9"/>
      <c r="C959" s="9"/>
      <c r="D959" s="9"/>
      <c r="E959" s="9"/>
      <c r="F959" s="9"/>
      <c r="G959" s="9"/>
    </row>
    <row r="960">
      <c r="A960" s="8"/>
      <c r="B960" s="9"/>
      <c r="C960" s="9"/>
      <c r="D960" s="9"/>
      <c r="E960" s="9"/>
      <c r="F960" s="9"/>
      <c r="G960" s="9"/>
    </row>
    <row r="961">
      <c r="A961" s="8"/>
      <c r="B961" s="9"/>
      <c r="C961" s="9"/>
      <c r="D961" s="9"/>
      <c r="E961" s="9"/>
      <c r="F961" s="9"/>
      <c r="G961" s="9"/>
    </row>
    <row r="962">
      <c r="A962" s="8"/>
      <c r="B962" s="9"/>
      <c r="C962" s="9"/>
      <c r="D962" s="9"/>
      <c r="E962" s="9"/>
      <c r="F962" s="9"/>
      <c r="G962" s="9"/>
    </row>
    <row r="963">
      <c r="A963" s="8"/>
      <c r="B963" s="9"/>
      <c r="C963" s="9"/>
      <c r="D963" s="9"/>
      <c r="E963" s="9"/>
      <c r="F963" s="9"/>
      <c r="G963" s="9"/>
    </row>
    <row r="964">
      <c r="A964" s="8"/>
      <c r="B964" s="9"/>
      <c r="C964" s="9"/>
      <c r="D964" s="9"/>
      <c r="E964" s="9"/>
      <c r="F964" s="9"/>
      <c r="G964" s="9"/>
    </row>
    <row r="965">
      <c r="A965" s="8"/>
      <c r="B965" s="9"/>
      <c r="C965" s="9"/>
      <c r="D965" s="9"/>
      <c r="E965" s="9"/>
      <c r="F965" s="9"/>
      <c r="G965" s="9"/>
    </row>
    <row r="966">
      <c r="A966" s="8"/>
      <c r="B966" s="9"/>
      <c r="C966" s="9"/>
      <c r="D966" s="9"/>
      <c r="E966" s="9"/>
      <c r="F966" s="9"/>
      <c r="G966" s="9"/>
    </row>
    <row r="967">
      <c r="A967" s="8"/>
      <c r="B967" s="9"/>
      <c r="C967" s="9"/>
      <c r="D967" s="9"/>
      <c r="E967" s="9"/>
      <c r="F967" s="9"/>
      <c r="G967" s="9"/>
    </row>
    <row r="968">
      <c r="A968" s="8"/>
      <c r="B968" s="9"/>
      <c r="C968" s="9"/>
      <c r="D968" s="9"/>
      <c r="E968" s="9"/>
      <c r="F968" s="9"/>
      <c r="G968" s="9"/>
    </row>
    <row r="969">
      <c r="A969" s="8"/>
      <c r="B969" s="9"/>
      <c r="C969" s="9"/>
      <c r="D969" s="9"/>
      <c r="E969" s="9"/>
      <c r="F969" s="9"/>
      <c r="G969" s="9"/>
    </row>
    <row r="970">
      <c r="A970" s="8"/>
      <c r="B970" s="9"/>
      <c r="C970" s="9"/>
      <c r="D970" s="9"/>
      <c r="E970" s="9"/>
      <c r="F970" s="9"/>
      <c r="G970" s="9"/>
    </row>
    <row r="971">
      <c r="A971" s="8"/>
      <c r="B971" s="9"/>
      <c r="C971" s="9"/>
      <c r="D971" s="9"/>
      <c r="E971" s="9"/>
      <c r="F971" s="9"/>
      <c r="G971" s="9"/>
    </row>
    <row r="972">
      <c r="A972" s="8"/>
      <c r="B972" s="9"/>
      <c r="C972" s="9"/>
      <c r="D972" s="9"/>
      <c r="E972" s="9"/>
      <c r="F972" s="9"/>
      <c r="G972" s="9"/>
    </row>
    <row r="973">
      <c r="A973" s="8"/>
      <c r="B973" s="9"/>
      <c r="C973" s="9"/>
      <c r="D973" s="9"/>
      <c r="E973" s="9"/>
      <c r="F973" s="9"/>
      <c r="G973" s="9"/>
    </row>
    <row r="974">
      <c r="A974" s="8"/>
      <c r="B974" s="9"/>
      <c r="C974" s="9"/>
      <c r="D974" s="9"/>
      <c r="E974" s="9"/>
      <c r="F974" s="9"/>
      <c r="G974" s="9"/>
    </row>
    <row r="975">
      <c r="A975" s="8"/>
      <c r="B975" s="9"/>
      <c r="C975" s="9"/>
      <c r="D975" s="9"/>
      <c r="E975" s="9"/>
      <c r="F975" s="9"/>
      <c r="G975" s="9"/>
    </row>
    <row r="976">
      <c r="A976" s="8"/>
      <c r="B976" s="9"/>
      <c r="C976" s="9"/>
      <c r="D976" s="9"/>
      <c r="E976" s="9"/>
      <c r="F976" s="9"/>
      <c r="G976" s="9"/>
    </row>
    <row r="977">
      <c r="A977" s="8"/>
      <c r="B977" s="9"/>
      <c r="C977" s="9"/>
      <c r="D977" s="9"/>
      <c r="E977" s="9"/>
      <c r="F977" s="9"/>
      <c r="G977" s="9"/>
    </row>
    <row r="978">
      <c r="A978" s="8"/>
      <c r="B978" s="9"/>
      <c r="C978" s="9"/>
      <c r="D978" s="9"/>
      <c r="E978" s="9"/>
      <c r="F978" s="9"/>
      <c r="G978" s="9"/>
    </row>
    <row r="979">
      <c r="A979" s="8"/>
      <c r="B979" s="9"/>
      <c r="C979" s="9"/>
      <c r="D979" s="9"/>
      <c r="E979" s="9"/>
      <c r="F979" s="9"/>
      <c r="G979" s="9"/>
    </row>
    <row r="980">
      <c r="A980" s="8"/>
      <c r="B980" s="9"/>
      <c r="C980" s="9"/>
      <c r="D980" s="9"/>
      <c r="E980" s="9"/>
      <c r="F980" s="9"/>
      <c r="G980" s="9"/>
    </row>
    <row r="981">
      <c r="A981" s="8"/>
      <c r="B981" s="9"/>
      <c r="C981" s="9"/>
      <c r="D981" s="9"/>
      <c r="E981" s="9"/>
      <c r="F981" s="9"/>
      <c r="G981" s="9"/>
    </row>
    <row r="982">
      <c r="A982" s="8"/>
      <c r="B982" s="9"/>
      <c r="C982" s="9"/>
      <c r="D982" s="9"/>
      <c r="E982" s="9"/>
      <c r="F982" s="9"/>
      <c r="G982" s="9"/>
    </row>
    <row r="983">
      <c r="A983" s="8"/>
      <c r="B983" s="9"/>
      <c r="C983" s="9"/>
      <c r="D983" s="9"/>
      <c r="E983" s="9"/>
      <c r="F983" s="9"/>
      <c r="G983" s="9"/>
    </row>
    <row r="984">
      <c r="A984" s="8"/>
      <c r="B984" s="9"/>
      <c r="C984" s="9"/>
      <c r="D984" s="9"/>
      <c r="E984" s="9"/>
      <c r="F984" s="9"/>
      <c r="G984" s="9"/>
    </row>
    <row r="985">
      <c r="A985" s="8"/>
      <c r="B985" s="9"/>
      <c r="C985" s="9"/>
      <c r="D985" s="9"/>
      <c r="E985" s="9"/>
      <c r="F985" s="9"/>
      <c r="G985" s="9"/>
    </row>
    <row r="986">
      <c r="A986" s="8"/>
      <c r="B986" s="9"/>
      <c r="C986" s="9"/>
      <c r="D986" s="9"/>
      <c r="E986" s="9"/>
      <c r="F986" s="9"/>
      <c r="G986" s="9"/>
    </row>
    <row r="987">
      <c r="A987" s="8"/>
      <c r="B987" s="9"/>
      <c r="C987" s="9"/>
      <c r="D987" s="9"/>
      <c r="E987" s="9"/>
      <c r="F987" s="9"/>
      <c r="G987" s="9"/>
    </row>
    <row r="988">
      <c r="A988" s="8"/>
      <c r="B988" s="9"/>
      <c r="C988" s="9"/>
      <c r="D988" s="9"/>
      <c r="E988" s="9"/>
      <c r="F988" s="9"/>
      <c r="G988" s="9"/>
    </row>
    <row r="989">
      <c r="A989" s="8"/>
      <c r="B989" s="9"/>
      <c r="C989" s="9"/>
      <c r="D989" s="9"/>
      <c r="E989" s="9"/>
      <c r="F989" s="9"/>
      <c r="G989" s="9"/>
    </row>
    <row r="990">
      <c r="A990" s="8"/>
      <c r="B990" s="9"/>
      <c r="C990" s="9"/>
      <c r="D990" s="9"/>
      <c r="E990" s="9"/>
      <c r="F990" s="9"/>
      <c r="G990" s="9"/>
    </row>
    <row r="991">
      <c r="A991" s="8"/>
      <c r="B991" s="9"/>
      <c r="C991" s="9"/>
      <c r="D991" s="9"/>
      <c r="E991" s="9"/>
      <c r="F991" s="9"/>
      <c r="G991" s="9"/>
    </row>
    <row r="992">
      <c r="A992" s="8"/>
      <c r="B992" s="9"/>
      <c r="C992" s="9"/>
      <c r="D992" s="9"/>
      <c r="E992" s="9"/>
      <c r="F992" s="9"/>
      <c r="G992" s="9"/>
    </row>
    <row r="993">
      <c r="A993" s="8"/>
      <c r="B993" s="9"/>
      <c r="C993" s="9"/>
      <c r="D993" s="9"/>
      <c r="E993" s="9"/>
      <c r="F993" s="9"/>
      <c r="G993" s="9"/>
    </row>
    <row r="994">
      <c r="A994" s="8"/>
      <c r="B994" s="9"/>
      <c r="C994" s="9"/>
      <c r="D994" s="9"/>
      <c r="E994" s="9"/>
      <c r="F994" s="9"/>
      <c r="G994" s="9"/>
    </row>
    <row r="995">
      <c r="A995" s="8"/>
      <c r="B995" s="9"/>
      <c r="C995" s="9"/>
      <c r="D995" s="9"/>
      <c r="E995" s="9"/>
      <c r="F995" s="9"/>
      <c r="G995" s="9"/>
    </row>
    <row r="996">
      <c r="A996" s="8"/>
      <c r="B996" s="9"/>
      <c r="C996" s="9"/>
      <c r="D996" s="9"/>
      <c r="E996" s="9"/>
      <c r="F996" s="9"/>
      <c r="G99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0" t="s">
        <v>7</v>
      </c>
      <c r="B2" s="4">
        <v>202.63</v>
      </c>
      <c r="C2" s="4">
        <v>211.43</v>
      </c>
      <c r="D2" s="4">
        <v>200.31</v>
      </c>
      <c r="E2" s="4">
        <v>210.32</v>
      </c>
      <c r="F2" s="11">
        <v>210.32</v>
      </c>
      <c r="G2" s="4">
        <v>1.79210851E8</v>
      </c>
    </row>
    <row r="3">
      <c r="A3" s="5" t="s">
        <v>8</v>
      </c>
      <c r="B3" s="6">
        <v>238.31</v>
      </c>
      <c r="C3" s="6">
        <v>246.35</v>
      </c>
      <c r="D3" s="6">
        <v>200.31</v>
      </c>
      <c r="E3" s="6">
        <v>210.32</v>
      </c>
      <c r="F3" s="6">
        <v>210.32</v>
      </c>
      <c r="G3" s="6">
        <v>4.252081E8</v>
      </c>
    </row>
    <row r="4">
      <c r="A4" s="3" t="s">
        <v>9</v>
      </c>
      <c r="B4" s="4">
        <v>239.98</v>
      </c>
      <c r="C4" s="4">
        <v>247.78</v>
      </c>
      <c r="D4" s="4">
        <v>236.74</v>
      </c>
      <c r="E4" s="4">
        <v>239.3</v>
      </c>
      <c r="F4" s="4">
        <v>239.3</v>
      </c>
      <c r="G4" s="4">
        <v>2.05552E8</v>
      </c>
    </row>
    <row r="5">
      <c r="A5" s="5" t="s">
        <v>10</v>
      </c>
      <c r="B5" s="6">
        <v>233.76</v>
      </c>
      <c r="C5" s="6">
        <v>240.45</v>
      </c>
      <c r="D5" s="6">
        <v>226.88</v>
      </c>
      <c r="E5" s="6">
        <v>239.16</v>
      </c>
      <c r="F5" s="6">
        <v>239.16</v>
      </c>
      <c r="G5" s="6">
        <v>1.607058E8</v>
      </c>
    </row>
    <row r="6">
      <c r="A6" s="3" t="s">
        <v>11</v>
      </c>
      <c r="B6" s="4">
        <v>246.73</v>
      </c>
      <c r="C6" s="4">
        <v>248.94</v>
      </c>
      <c r="D6" s="4">
        <v>236.22</v>
      </c>
      <c r="E6" s="4">
        <v>239.12</v>
      </c>
      <c r="F6" s="4">
        <v>239.12</v>
      </c>
      <c r="G6" s="4">
        <v>2.045421E8</v>
      </c>
    </row>
    <row r="7">
      <c r="A7" s="5" t="s">
        <v>13</v>
      </c>
      <c r="B7" s="6">
        <v>228.84</v>
      </c>
      <c r="C7" s="6">
        <v>247.86</v>
      </c>
      <c r="D7" s="6">
        <v>227.18</v>
      </c>
      <c r="E7" s="6">
        <v>247.38</v>
      </c>
      <c r="F7" s="6">
        <v>247.38</v>
      </c>
      <c r="G7" s="6">
        <v>2.198043E8</v>
      </c>
      <c r="L7" s="7" t="s">
        <v>61</v>
      </c>
    </row>
    <row r="8">
      <c r="A8" s="3" t="s">
        <v>14</v>
      </c>
      <c r="B8" s="4">
        <v>231.94</v>
      </c>
      <c r="C8" s="4">
        <v>235.46</v>
      </c>
      <c r="D8" s="4">
        <v>224.7</v>
      </c>
      <c r="E8" s="4">
        <v>226.5</v>
      </c>
      <c r="F8" s="4">
        <v>226.5</v>
      </c>
      <c r="G8" s="4">
        <v>1.175483E8</v>
      </c>
    </row>
    <row r="9">
      <c r="A9" s="5" t="s">
        <v>15</v>
      </c>
      <c r="B9" s="6">
        <v>228.61</v>
      </c>
      <c r="C9" s="6">
        <v>232.99</v>
      </c>
      <c r="D9" s="6">
        <v>226.71</v>
      </c>
      <c r="E9" s="6">
        <v>232.52</v>
      </c>
      <c r="F9" s="6">
        <v>232.52</v>
      </c>
      <c r="G9" s="6">
        <v>8.89067E7</v>
      </c>
    </row>
    <row r="10">
      <c r="A10" s="3" t="s">
        <v>16</v>
      </c>
      <c r="B10" s="4">
        <v>227.93</v>
      </c>
      <c r="C10" s="4">
        <v>229.23</v>
      </c>
      <c r="D10" s="4">
        <v>220.99</v>
      </c>
      <c r="E10" s="4">
        <v>227.35</v>
      </c>
      <c r="F10" s="4">
        <v>227.35</v>
      </c>
      <c r="G10" s="4">
        <v>2.664362E8</v>
      </c>
    </row>
    <row r="11">
      <c r="A11" s="5" t="s">
        <v>17</v>
      </c>
      <c r="B11" s="6">
        <v>229.59</v>
      </c>
      <c r="C11" s="6">
        <v>232.42</v>
      </c>
      <c r="D11" s="6">
        <v>225.11</v>
      </c>
      <c r="E11" s="6">
        <v>226.19</v>
      </c>
      <c r="F11" s="6">
        <v>226.19</v>
      </c>
      <c r="G11" s="6">
        <v>1.635403E8</v>
      </c>
    </row>
    <row r="12">
      <c r="A12" s="3" t="s">
        <v>18</v>
      </c>
      <c r="B12" s="4">
        <v>233.22</v>
      </c>
      <c r="C12" s="4">
        <v>238.97</v>
      </c>
      <c r="D12" s="4">
        <v>226.8</v>
      </c>
      <c r="E12" s="4">
        <v>229.53</v>
      </c>
      <c r="F12" s="4">
        <v>229.53</v>
      </c>
      <c r="G12" s="4">
        <v>2.029851E8</v>
      </c>
    </row>
    <row r="13">
      <c r="A13" s="5" t="s">
        <v>19</v>
      </c>
      <c r="B13" s="6">
        <v>222.56</v>
      </c>
      <c r="C13" s="6">
        <v>233.29</v>
      </c>
      <c r="D13" s="6">
        <v>222.27</v>
      </c>
      <c r="E13" s="6">
        <v>233.22</v>
      </c>
      <c r="F13" s="6">
        <v>233.22</v>
      </c>
      <c r="G13" s="6">
        <v>1.524879E8</v>
      </c>
    </row>
    <row r="14">
      <c r="A14" s="3" t="s">
        <v>20</v>
      </c>
      <c r="B14" s="4">
        <v>233.25</v>
      </c>
      <c r="C14" s="4">
        <v>234.6</v>
      </c>
      <c r="D14" s="4">
        <v>215.18</v>
      </c>
      <c r="E14" s="4">
        <v>220.69</v>
      </c>
      <c r="F14" s="4">
        <v>220.69</v>
      </c>
      <c r="G14" s="4">
        <v>2.976625E8</v>
      </c>
    </row>
    <row r="15">
      <c r="A15" s="5" t="s">
        <v>21</v>
      </c>
      <c r="B15" s="6">
        <v>248.34</v>
      </c>
      <c r="C15" s="6">
        <v>251.75</v>
      </c>
      <c r="D15" s="6">
        <v>232.89</v>
      </c>
      <c r="E15" s="6">
        <v>234.69</v>
      </c>
      <c r="F15" s="6">
        <v>234.69</v>
      </c>
      <c r="G15" s="6">
        <v>1.715891E8</v>
      </c>
    </row>
    <row r="16">
      <c r="A16" s="3" t="s">
        <v>22</v>
      </c>
      <c r="B16" s="4">
        <v>255.36</v>
      </c>
      <c r="C16" s="4">
        <v>258.6</v>
      </c>
      <c r="D16" s="4">
        <v>238.49</v>
      </c>
      <c r="E16" s="4">
        <v>244.41</v>
      </c>
      <c r="F16" s="4">
        <v>244.41</v>
      </c>
      <c r="G16" s="4">
        <v>2.805333E8</v>
      </c>
    </row>
    <row r="17">
      <c r="A17" s="5" t="s">
        <v>23</v>
      </c>
      <c r="B17" s="6">
        <v>227.66</v>
      </c>
      <c r="C17" s="6">
        <v>250.5</v>
      </c>
      <c r="D17" s="6">
        <v>222.75</v>
      </c>
      <c r="E17" s="6">
        <v>244.22</v>
      </c>
      <c r="F17" s="6">
        <v>244.22</v>
      </c>
      <c r="G17" s="6">
        <v>4.059969E8</v>
      </c>
    </row>
    <row r="18">
      <c r="A18" s="3" t="s">
        <v>24</v>
      </c>
      <c r="B18" s="4">
        <v>213.88</v>
      </c>
      <c r="C18" s="4">
        <v>225.4</v>
      </c>
      <c r="D18" s="4">
        <v>213.59</v>
      </c>
      <c r="E18" s="4">
        <v>224.21</v>
      </c>
      <c r="F18" s="4">
        <v>224.21</v>
      </c>
      <c r="G18" s="4">
        <v>2.03911E8</v>
      </c>
    </row>
    <row r="19">
      <c r="A19" s="5" t="s">
        <v>25</v>
      </c>
      <c r="B19" s="6">
        <v>217.7</v>
      </c>
      <c r="C19" s="6">
        <v>220.68</v>
      </c>
      <c r="D19" s="6">
        <v>211.03</v>
      </c>
      <c r="E19" s="6">
        <v>213.04</v>
      </c>
      <c r="F19" s="6">
        <v>213.04</v>
      </c>
      <c r="G19" s="6">
        <v>2.177863E8</v>
      </c>
    </row>
    <row r="20">
      <c r="A20" s="3" t="s">
        <v>26</v>
      </c>
      <c r="B20" s="4">
        <v>221.0</v>
      </c>
      <c r="C20" s="4">
        <v>228.25</v>
      </c>
      <c r="D20" s="4">
        <v>216.0</v>
      </c>
      <c r="E20" s="4">
        <v>216.37</v>
      </c>
      <c r="F20" s="4">
        <v>216.37</v>
      </c>
      <c r="G20" s="4">
        <v>2.403512E8</v>
      </c>
    </row>
    <row r="21">
      <c r="A21" s="5" t="s">
        <v>27</v>
      </c>
      <c r="B21" s="6">
        <v>220.08</v>
      </c>
      <c r="C21" s="6">
        <v>224.2</v>
      </c>
      <c r="D21" s="6">
        <v>216.61</v>
      </c>
      <c r="E21" s="6">
        <v>219.51</v>
      </c>
      <c r="F21" s="6">
        <v>219.51</v>
      </c>
      <c r="G21" s="6">
        <v>2.21487E8</v>
      </c>
    </row>
    <row r="22">
      <c r="A22" s="3" t="s">
        <v>28</v>
      </c>
      <c r="B22" s="4">
        <v>230.56</v>
      </c>
      <c r="C22" s="4">
        <v>230.57</v>
      </c>
      <c r="D22" s="4">
        <v>216.47</v>
      </c>
      <c r="E22" s="4">
        <v>219.78</v>
      </c>
      <c r="F22" s="4">
        <v>219.78</v>
      </c>
      <c r="G22" s="4">
        <v>2.602561E8</v>
      </c>
    </row>
    <row r="23">
      <c r="A23" s="5" t="s">
        <v>29</v>
      </c>
      <c r="B23" s="6">
        <v>230.63</v>
      </c>
      <c r="C23" s="6">
        <v>235.9</v>
      </c>
      <c r="D23" s="6">
        <v>228.71</v>
      </c>
      <c r="E23" s="6">
        <v>231.48</v>
      </c>
      <c r="F23" s="6">
        <v>231.48</v>
      </c>
      <c r="G23" s="6">
        <v>2.501373E8</v>
      </c>
    </row>
    <row r="24">
      <c r="A24" s="3" t="s">
        <v>30</v>
      </c>
      <c r="B24" s="4">
        <v>234.94</v>
      </c>
      <c r="C24" s="4">
        <v>238.85</v>
      </c>
      <c r="D24" s="4">
        <v>226.29</v>
      </c>
      <c r="E24" s="4">
        <v>228.15</v>
      </c>
      <c r="F24" s="4">
        <v>228.15</v>
      </c>
      <c r="G24" s="4">
        <v>1.978704E8</v>
      </c>
    </row>
    <row r="25">
      <c r="A25" s="5" t="s">
        <v>31</v>
      </c>
      <c r="B25" s="6">
        <v>223.52</v>
      </c>
      <c r="C25" s="6">
        <v>236.0</v>
      </c>
      <c r="D25" s="6">
        <v>221.83</v>
      </c>
      <c r="E25" s="6">
        <v>232.33</v>
      </c>
      <c r="F25" s="6">
        <v>232.33</v>
      </c>
      <c r="G25" s="6">
        <v>1.641806E8</v>
      </c>
    </row>
    <row r="26">
      <c r="A26" s="3" t="s">
        <v>32</v>
      </c>
      <c r="B26" s="4">
        <v>227.35</v>
      </c>
      <c r="C26" s="4">
        <v>232.71</v>
      </c>
      <c r="D26" s="4">
        <v>226.02</v>
      </c>
      <c r="E26" s="4">
        <v>229.0</v>
      </c>
      <c r="F26" s="4">
        <v>229.0</v>
      </c>
      <c r="G26" s="4">
        <v>1.298724E8</v>
      </c>
    </row>
    <row r="27">
      <c r="A27" s="5" t="s">
        <v>33</v>
      </c>
      <c r="B27" s="6">
        <v>230.23</v>
      </c>
      <c r="C27" s="6">
        <v>231.91</v>
      </c>
      <c r="D27" s="6">
        <v>220.5</v>
      </c>
      <c r="E27" s="6">
        <v>228.84</v>
      </c>
      <c r="F27" s="6">
        <v>228.84</v>
      </c>
      <c r="G27" s="6">
        <v>1.612E8</v>
      </c>
    </row>
    <row r="28">
      <c r="A28" s="3" t="s">
        <v>34</v>
      </c>
      <c r="B28" s="4">
        <v>221.78</v>
      </c>
      <c r="C28" s="4">
        <v>234.08</v>
      </c>
      <c r="D28" s="4">
        <v>219.05</v>
      </c>
      <c r="E28" s="4">
        <v>231.03</v>
      </c>
      <c r="F28" s="4">
        <v>231.03</v>
      </c>
      <c r="G28" s="4">
        <v>2.065353E8</v>
      </c>
    </row>
    <row r="29">
      <c r="A29" s="5" t="s">
        <v>35</v>
      </c>
      <c r="B29" s="6">
        <v>217.4</v>
      </c>
      <c r="C29" s="6">
        <v>226.22</v>
      </c>
      <c r="D29" s="6">
        <v>211.42</v>
      </c>
      <c r="E29" s="6">
        <v>222.69</v>
      </c>
      <c r="F29" s="6">
        <v>222.69</v>
      </c>
      <c r="G29" s="6">
        <v>2.577922E8</v>
      </c>
    </row>
    <row r="30">
      <c r="A30" s="3" t="s">
        <v>36</v>
      </c>
      <c r="B30" s="4">
        <v>233.35</v>
      </c>
      <c r="C30" s="4">
        <v>236.53</v>
      </c>
      <c r="D30" s="4">
        <v>212.8</v>
      </c>
      <c r="E30" s="4">
        <v>214.75</v>
      </c>
      <c r="F30" s="4">
        <v>214.75</v>
      </c>
      <c r="G30" s="4">
        <v>3.196257E8</v>
      </c>
    </row>
    <row r="31">
      <c r="A31" s="5" t="s">
        <v>37</v>
      </c>
      <c r="B31" s="6">
        <v>225.84</v>
      </c>
      <c r="C31" s="6">
        <v>236.0</v>
      </c>
      <c r="D31" s="6">
        <v>225.65</v>
      </c>
      <c r="E31" s="6">
        <v>231.44</v>
      </c>
      <c r="F31" s="6">
        <v>231.44</v>
      </c>
      <c r="G31" s="6">
        <v>1.776906E8</v>
      </c>
    </row>
    <row r="32">
      <c r="A32" s="3" t="s">
        <v>38</v>
      </c>
      <c r="B32" s="4">
        <v>225.07</v>
      </c>
      <c r="C32" s="4">
        <v>227.27</v>
      </c>
      <c r="D32" s="4">
        <v>222.18</v>
      </c>
      <c r="E32" s="4">
        <v>226.13</v>
      </c>
      <c r="F32" s="4">
        <v>226.13</v>
      </c>
      <c r="G32" s="4">
        <v>1.798354E8</v>
      </c>
    </row>
    <row r="33">
      <c r="A33" s="5" t="s">
        <v>39</v>
      </c>
      <c r="B33" s="6">
        <v>223.0</v>
      </c>
      <c r="C33" s="6">
        <v>226.68</v>
      </c>
      <c r="D33" s="6">
        <v>218.43</v>
      </c>
      <c r="E33" s="6">
        <v>225.02</v>
      </c>
      <c r="F33" s="6">
        <v>225.02</v>
      </c>
      <c r="G33" s="6">
        <v>2.013401E8</v>
      </c>
    </row>
    <row r="34">
      <c r="A34" s="3" t="s">
        <v>40</v>
      </c>
      <c r="B34" s="4">
        <v>223.52</v>
      </c>
      <c r="C34" s="4">
        <v>224.01</v>
      </c>
      <c r="D34" s="4">
        <v>217.93</v>
      </c>
      <c r="E34" s="4">
        <v>223.41</v>
      </c>
      <c r="F34" s="4">
        <v>223.41</v>
      </c>
      <c r="G34" s="4">
        <v>1.586712E8</v>
      </c>
    </row>
    <row r="35">
      <c r="A35" s="5" t="s">
        <v>41</v>
      </c>
      <c r="B35" s="6">
        <v>209.79</v>
      </c>
      <c r="C35" s="6">
        <v>223.3</v>
      </c>
      <c r="D35" s="6">
        <v>207.31</v>
      </c>
      <c r="E35" s="6">
        <v>223.3</v>
      </c>
      <c r="F35" s="6">
        <v>223.3</v>
      </c>
      <c r="G35" s="6">
        <v>2.771441E8</v>
      </c>
    </row>
    <row r="36">
      <c r="A36" s="3" t="s">
        <v>42</v>
      </c>
      <c r="B36" s="4">
        <v>212.31</v>
      </c>
      <c r="C36" s="4">
        <v>217.96</v>
      </c>
      <c r="D36" s="4">
        <v>208.27</v>
      </c>
      <c r="E36" s="4">
        <v>209.69</v>
      </c>
      <c r="F36" s="4">
        <v>209.69</v>
      </c>
      <c r="G36" s="4">
        <v>1.850817E8</v>
      </c>
    </row>
    <row r="37">
      <c r="A37" s="5" t="s">
        <v>43</v>
      </c>
      <c r="B37" s="6">
        <v>214.75</v>
      </c>
      <c r="C37" s="6">
        <v>218.4</v>
      </c>
      <c r="D37" s="6">
        <v>209.62</v>
      </c>
      <c r="E37" s="6">
        <v>212.1</v>
      </c>
      <c r="F37" s="6">
        <v>212.1</v>
      </c>
      <c r="G37" s="6">
        <v>1.657096E8</v>
      </c>
    </row>
    <row r="38">
      <c r="A38" s="3" t="s">
        <v>44</v>
      </c>
      <c r="B38" s="4">
        <v>204.98</v>
      </c>
      <c r="C38" s="4">
        <v>213.87</v>
      </c>
      <c r="D38" s="4">
        <v>202.68</v>
      </c>
      <c r="E38" s="4">
        <v>213.57</v>
      </c>
      <c r="F38" s="4">
        <v>213.57</v>
      </c>
      <c r="G38" s="4">
        <v>1.838647E8</v>
      </c>
    </row>
    <row r="39">
      <c r="A39" s="5" t="s">
        <v>45</v>
      </c>
      <c r="B39" s="6">
        <v>203.09</v>
      </c>
      <c r="C39" s="6">
        <v>208.81</v>
      </c>
      <c r="D39" s="6">
        <v>201.7</v>
      </c>
      <c r="E39" s="6">
        <v>205.01</v>
      </c>
      <c r="F39" s="6">
        <v>205.01</v>
      </c>
      <c r="G39" s="6">
        <v>1.497712E8</v>
      </c>
    </row>
    <row r="40">
      <c r="A40" s="3" t="s">
        <v>46</v>
      </c>
      <c r="B40" s="4">
        <v>201.65</v>
      </c>
      <c r="C40" s="4">
        <v>206.62</v>
      </c>
      <c r="D40" s="4">
        <v>197.85</v>
      </c>
      <c r="E40" s="4">
        <v>200.99</v>
      </c>
      <c r="F40" s="4">
        <v>200.99</v>
      </c>
      <c r="G40" s="4">
        <v>1.785785E8</v>
      </c>
    </row>
    <row r="41">
      <c r="A41" s="5" t="s">
        <v>47</v>
      </c>
      <c r="B41" s="6">
        <v>210.71</v>
      </c>
      <c r="C41" s="6">
        <v>214.84</v>
      </c>
      <c r="D41" s="6">
        <v>202.67</v>
      </c>
      <c r="E41" s="6">
        <v>205.59</v>
      </c>
      <c r="F41" s="6">
        <v>205.59</v>
      </c>
      <c r="G41" s="6">
        <v>2.775566E8</v>
      </c>
    </row>
    <row r="42">
      <c r="A42" s="3" t="s">
        <v>48</v>
      </c>
      <c r="B42" s="4">
        <v>186.51</v>
      </c>
      <c r="C42" s="4">
        <v>194.69</v>
      </c>
      <c r="D42" s="4">
        <v>183.85</v>
      </c>
      <c r="E42" s="4">
        <v>193.06</v>
      </c>
      <c r="F42" s="4">
        <v>193.06</v>
      </c>
      <c r="G42" s="4">
        <v>1.791869E8</v>
      </c>
    </row>
    <row r="43">
      <c r="A43" s="5" t="s">
        <v>49</v>
      </c>
      <c r="B43" s="6">
        <v>190.11</v>
      </c>
      <c r="C43" s="6">
        <v>192.88</v>
      </c>
      <c r="D43" s="6">
        <v>178.85</v>
      </c>
      <c r="E43" s="6">
        <v>189.98</v>
      </c>
      <c r="F43" s="6">
        <v>189.98</v>
      </c>
      <c r="G43" s="6">
        <v>2.82238E8</v>
      </c>
    </row>
    <row r="44">
      <c r="A44" s="3" t="s">
        <v>50</v>
      </c>
      <c r="B44" s="4">
        <v>169.6</v>
      </c>
      <c r="C44" s="4">
        <v>189.94</v>
      </c>
      <c r="D44" s="4">
        <v>165.29</v>
      </c>
      <c r="E44" s="4">
        <v>188.99</v>
      </c>
      <c r="F44" s="4">
        <v>188.99</v>
      </c>
      <c r="G44" s="4">
        <v>2.483809E8</v>
      </c>
    </row>
    <row r="45">
      <c r="A45" s="5" t="s">
        <v>51</v>
      </c>
      <c r="B45" s="6">
        <v>186.84</v>
      </c>
      <c r="C45" s="6">
        <v>187.44</v>
      </c>
      <c r="D45" s="6">
        <v>171.41</v>
      </c>
      <c r="E45" s="6">
        <v>172.61</v>
      </c>
      <c r="F45" s="6">
        <v>172.61</v>
      </c>
      <c r="G45" s="6">
        <v>1.882463E8</v>
      </c>
    </row>
    <row r="46">
      <c r="A46" s="3" t="s">
        <v>52</v>
      </c>
      <c r="B46" s="4">
        <v>162.0</v>
      </c>
      <c r="C46" s="4">
        <v>192.65</v>
      </c>
      <c r="D46" s="4">
        <v>161.38</v>
      </c>
      <c r="E46" s="4">
        <v>184.87</v>
      </c>
      <c r="F46" s="4">
        <v>184.87</v>
      </c>
      <c r="G46" s="4">
        <v>4.327381E8</v>
      </c>
    </row>
    <row r="47">
      <c r="A47" s="5" t="s">
        <v>53</v>
      </c>
      <c r="B47" s="6">
        <v>188.19</v>
      </c>
      <c r="C47" s="6">
        <v>198.34</v>
      </c>
      <c r="D47" s="6">
        <v>166.0</v>
      </c>
      <c r="E47" s="6">
        <v>171.0</v>
      </c>
      <c r="F47" s="6">
        <v>171.0</v>
      </c>
      <c r="G47" s="6">
        <v>3.772071E8</v>
      </c>
    </row>
    <row r="48">
      <c r="A48" s="3" t="s">
        <v>54</v>
      </c>
      <c r="B48" s="4">
        <v>200.0</v>
      </c>
      <c r="C48" s="4">
        <v>206.21</v>
      </c>
      <c r="D48" s="4">
        <v>191.88</v>
      </c>
      <c r="E48" s="4">
        <v>192.72</v>
      </c>
      <c r="F48" s="4">
        <v>192.72</v>
      </c>
      <c r="G48" s="4">
        <v>1.855178E8</v>
      </c>
    </row>
    <row r="49">
      <c r="A49" s="5" t="s">
        <v>55</v>
      </c>
      <c r="B49" s="6">
        <v>198.77</v>
      </c>
      <c r="C49" s="6">
        <v>199.32</v>
      </c>
      <c r="D49" s="6">
        <v>189.38</v>
      </c>
      <c r="E49" s="6">
        <v>196.21</v>
      </c>
      <c r="F49" s="6">
        <v>196.21</v>
      </c>
      <c r="G49" s="6">
        <v>2.261776E8</v>
      </c>
    </row>
    <row r="50">
      <c r="A50" s="3" t="s">
        <v>56</v>
      </c>
      <c r="B50" s="4">
        <v>195.6</v>
      </c>
      <c r="C50" s="4">
        <v>201.52</v>
      </c>
      <c r="D50" s="4">
        <v>190.85</v>
      </c>
      <c r="E50" s="4">
        <v>197.95</v>
      </c>
      <c r="F50" s="4">
        <v>197.95</v>
      </c>
      <c r="G50" s="4">
        <v>2.394006E8</v>
      </c>
    </row>
    <row r="51">
      <c r="A51" s="5" t="s">
        <v>57</v>
      </c>
      <c r="B51" s="6">
        <v>213.35</v>
      </c>
      <c r="C51" s="6">
        <v>214.01</v>
      </c>
      <c r="D51" s="6">
        <v>192.53</v>
      </c>
      <c r="E51" s="6">
        <v>199.25</v>
      </c>
      <c r="F51" s="6">
        <v>199.25</v>
      </c>
      <c r="G51" s="6">
        <v>2.520782E8</v>
      </c>
    </row>
    <row r="52">
      <c r="A52" s="3" t="s">
        <v>58</v>
      </c>
      <c r="B52" s="4">
        <v>217.45</v>
      </c>
      <c r="C52" s="4">
        <v>219.97</v>
      </c>
      <c r="D52" s="4">
        <v>204.16</v>
      </c>
      <c r="E52" s="4">
        <v>212.28</v>
      </c>
      <c r="F52" s="4">
        <v>212.28</v>
      </c>
      <c r="G52" s="4">
        <v>2.327865E8</v>
      </c>
    </row>
    <row r="53">
      <c r="A53" s="5" t="s">
        <v>59</v>
      </c>
      <c r="B53" s="6">
        <v>228.82</v>
      </c>
      <c r="C53" s="6">
        <v>229.3</v>
      </c>
      <c r="D53" s="6">
        <v>214.74</v>
      </c>
      <c r="E53" s="6">
        <v>216.58</v>
      </c>
      <c r="F53" s="6">
        <v>216.58</v>
      </c>
      <c r="G53" s="6">
        <v>1.568674E8</v>
      </c>
    </row>
    <row r="54">
      <c r="A54" s="3" t="s">
        <v>60</v>
      </c>
      <c r="B54" s="4">
        <v>230.55</v>
      </c>
      <c r="C54" s="4">
        <v>233.92</v>
      </c>
      <c r="D54" s="4">
        <v>227.23</v>
      </c>
      <c r="E54" s="4">
        <v>228.68</v>
      </c>
      <c r="F54" s="4">
        <v>228.68</v>
      </c>
      <c r="G54" s="4">
        <v>1.497964E8</v>
      </c>
    </row>
    <row r="55">
      <c r="A55" s="8"/>
      <c r="B55" s="9"/>
      <c r="C55" s="9"/>
      <c r="D55" s="9"/>
      <c r="E55" s="9"/>
      <c r="F55" s="9"/>
      <c r="G55" s="9"/>
    </row>
    <row r="56">
      <c r="A56" s="8"/>
      <c r="B56" s="9"/>
      <c r="C56" s="9"/>
      <c r="D56" s="9"/>
      <c r="E56" s="9"/>
      <c r="F56" s="9"/>
      <c r="G56" s="9"/>
    </row>
    <row r="57">
      <c r="A57" s="8"/>
      <c r="B57" s="9"/>
      <c r="C57" s="9"/>
      <c r="D57" s="9"/>
      <c r="E57" s="9"/>
      <c r="F57" s="9"/>
      <c r="G57" s="9"/>
    </row>
    <row r="58">
      <c r="A58" s="8"/>
      <c r="B58" s="9"/>
      <c r="C58" s="9"/>
      <c r="D58" s="9"/>
      <c r="E58" s="9"/>
      <c r="F58" s="9"/>
      <c r="G58" s="9"/>
    </row>
    <row r="59">
      <c r="A59" s="8"/>
      <c r="B59" s="9"/>
      <c r="C59" s="9"/>
      <c r="D59" s="9"/>
      <c r="E59" s="9"/>
      <c r="F59" s="9"/>
      <c r="G59" s="9"/>
    </row>
    <row r="60">
      <c r="A60" s="8"/>
      <c r="B60" s="9"/>
      <c r="C60" s="9"/>
      <c r="D60" s="9"/>
      <c r="E60" s="9"/>
      <c r="F60" s="9"/>
      <c r="G60" s="9"/>
    </row>
    <row r="61">
      <c r="A61" s="8"/>
      <c r="B61" s="9"/>
      <c r="C61" s="9"/>
      <c r="D61" s="9"/>
      <c r="E61" s="9"/>
      <c r="F61" s="9"/>
      <c r="G61" s="9"/>
    </row>
    <row r="62">
      <c r="A62" s="8"/>
      <c r="B62" s="9"/>
      <c r="C62" s="9"/>
      <c r="D62" s="9"/>
      <c r="E62" s="9"/>
      <c r="F62" s="9"/>
      <c r="G62" s="9"/>
    </row>
    <row r="63">
      <c r="A63" s="8"/>
      <c r="B63" s="9"/>
      <c r="C63" s="9"/>
      <c r="D63" s="9"/>
      <c r="E63" s="9"/>
      <c r="F63" s="9"/>
      <c r="G63" s="9"/>
    </row>
    <row r="64">
      <c r="A64" s="8"/>
      <c r="B64" s="9"/>
      <c r="C64" s="9"/>
      <c r="D64" s="9"/>
      <c r="E64" s="9"/>
      <c r="F64" s="9"/>
      <c r="G64" s="9"/>
    </row>
    <row r="65">
      <c r="A65" s="8"/>
      <c r="B65" s="9"/>
      <c r="C65" s="9"/>
      <c r="D65" s="9"/>
      <c r="E65" s="9"/>
      <c r="F65" s="9"/>
      <c r="G65" s="9"/>
    </row>
    <row r="66">
      <c r="A66" s="8"/>
      <c r="B66" s="9"/>
      <c r="C66" s="9"/>
      <c r="D66" s="9"/>
      <c r="E66" s="9"/>
      <c r="F66" s="9"/>
      <c r="G66" s="9"/>
    </row>
    <row r="67">
      <c r="A67" s="8"/>
      <c r="B67" s="9"/>
      <c r="C67" s="9"/>
      <c r="D67" s="9"/>
      <c r="E67" s="9"/>
      <c r="F67" s="9"/>
      <c r="G67" s="9"/>
    </row>
    <row r="68">
      <c r="A68" s="8"/>
      <c r="B68" s="9"/>
      <c r="C68" s="9"/>
      <c r="D68" s="9"/>
      <c r="E68" s="9"/>
      <c r="F68" s="9"/>
      <c r="G68" s="9"/>
    </row>
    <row r="69">
      <c r="A69" s="8"/>
      <c r="B69" s="9"/>
      <c r="C69" s="9"/>
      <c r="D69" s="9"/>
      <c r="E69" s="9"/>
      <c r="F69" s="9"/>
      <c r="G69" s="9"/>
    </row>
    <row r="70">
      <c r="A70" s="8"/>
      <c r="B70" s="9"/>
      <c r="C70" s="9"/>
      <c r="D70" s="9"/>
      <c r="E70" s="9"/>
      <c r="F70" s="9"/>
      <c r="G70" s="9"/>
    </row>
    <row r="71">
      <c r="A71" s="8"/>
      <c r="B71" s="9"/>
      <c r="C71" s="9"/>
      <c r="D71" s="9"/>
      <c r="E71" s="9"/>
      <c r="F71" s="9"/>
      <c r="G71" s="9"/>
    </row>
    <row r="72">
      <c r="A72" s="8"/>
      <c r="B72" s="9"/>
      <c r="C72" s="9"/>
      <c r="D72" s="9"/>
      <c r="E72" s="9"/>
      <c r="F72" s="9"/>
      <c r="G72" s="9"/>
    </row>
    <row r="73">
      <c r="A73" s="8"/>
      <c r="B73" s="9"/>
      <c r="C73" s="9"/>
      <c r="D73" s="9"/>
      <c r="E73" s="9"/>
      <c r="F73" s="9"/>
      <c r="G73" s="9"/>
    </row>
    <row r="74">
      <c r="A74" s="8"/>
      <c r="B74" s="9"/>
      <c r="C74" s="9"/>
      <c r="D74" s="9"/>
      <c r="E74" s="9"/>
      <c r="F74" s="9"/>
      <c r="G74" s="9"/>
    </row>
    <row r="75">
      <c r="A75" s="8"/>
      <c r="B75" s="9"/>
      <c r="C75" s="9"/>
      <c r="D75" s="9"/>
      <c r="E75" s="9"/>
      <c r="F75" s="9"/>
      <c r="G75" s="9"/>
    </row>
    <row r="76">
      <c r="A76" s="8"/>
      <c r="B76" s="9"/>
      <c r="C76" s="9"/>
      <c r="D76" s="9"/>
      <c r="E76" s="9"/>
      <c r="F76" s="9"/>
      <c r="G76" s="9"/>
    </row>
    <row r="77">
      <c r="A77" s="8"/>
      <c r="B77" s="9"/>
      <c r="C77" s="9"/>
      <c r="D77" s="9"/>
      <c r="E77" s="9"/>
      <c r="F77" s="9"/>
      <c r="G77" s="9"/>
    </row>
    <row r="78">
      <c r="A78" s="8"/>
      <c r="B78" s="9"/>
      <c r="C78" s="9"/>
      <c r="D78" s="9"/>
      <c r="E78" s="9"/>
      <c r="F78" s="9"/>
      <c r="G78" s="9"/>
    </row>
    <row r="79">
      <c r="A79" s="8"/>
      <c r="B79" s="9"/>
      <c r="C79" s="9"/>
      <c r="D79" s="9"/>
      <c r="E79" s="9"/>
      <c r="F79" s="9"/>
      <c r="G79" s="9"/>
    </row>
    <row r="80">
      <c r="A80" s="8"/>
      <c r="B80" s="9"/>
      <c r="C80" s="9"/>
      <c r="D80" s="9"/>
      <c r="E80" s="9"/>
      <c r="F80" s="9"/>
      <c r="G80" s="9"/>
    </row>
    <row r="81">
      <c r="A81" s="8"/>
      <c r="B81" s="9"/>
      <c r="C81" s="9"/>
      <c r="D81" s="9"/>
      <c r="E81" s="9"/>
      <c r="F81" s="9"/>
      <c r="G81" s="9"/>
    </row>
    <row r="82">
      <c r="A82" s="8"/>
      <c r="B82" s="9"/>
      <c r="C82" s="9"/>
      <c r="D82" s="9"/>
      <c r="E82" s="9"/>
      <c r="F82" s="9"/>
      <c r="G82" s="9"/>
    </row>
    <row r="83">
      <c r="A83" s="8"/>
      <c r="B83" s="9"/>
      <c r="C83" s="9"/>
      <c r="D83" s="9"/>
      <c r="E83" s="9"/>
      <c r="F83" s="9"/>
      <c r="G83" s="9"/>
    </row>
    <row r="84">
      <c r="A84" s="8"/>
      <c r="B84" s="9"/>
      <c r="C84" s="9"/>
      <c r="D84" s="9"/>
      <c r="E84" s="9"/>
      <c r="F84" s="9"/>
      <c r="G84" s="9"/>
    </row>
    <row r="85">
      <c r="A85" s="8"/>
      <c r="B85" s="9"/>
      <c r="C85" s="9"/>
      <c r="D85" s="9"/>
      <c r="E85" s="9"/>
      <c r="F85" s="9"/>
      <c r="G85" s="9"/>
    </row>
    <row r="86">
      <c r="A86" s="8"/>
      <c r="B86" s="9"/>
      <c r="C86" s="9"/>
      <c r="D86" s="9"/>
      <c r="E86" s="9"/>
      <c r="F86" s="9"/>
      <c r="G86" s="9"/>
    </row>
    <row r="87">
      <c r="A87" s="8"/>
      <c r="B87" s="9"/>
      <c r="C87" s="9"/>
      <c r="D87" s="9"/>
      <c r="E87" s="9"/>
      <c r="F87" s="9"/>
      <c r="G87" s="9"/>
    </row>
    <row r="88">
      <c r="A88" s="8"/>
      <c r="B88" s="9"/>
      <c r="C88" s="9"/>
      <c r="D88" s="9"/>
      <c r="E88" s="9"/>
      <c r="F88" s="9"/>
      <c r="G88" s="9"/>
    </row>
    <row r="89">
      <c r="A89" s="8"/>
      <c r="B89" s="9"/>
      <c r="C89" s="9"/>
      <c r="D89" s="9"/>
      <c r="E89" s="9"/>
      <c r="F89" s="9"/>
      <c r="G89" s="9"/>
    </row>
    <row r="90">
      <c r="A90" s="8"/>
      <c r="B90" s="9"/>
      <c r="C90" s="9"/>
      <c r="D90" s="9"/>
      <c r="E90" s="9"/>
      <c r="F90" s="9"/>
      <c r="G90" s="9"/>
    </row>
    <row r="91">
      <c r="A91" s="8"/>
      <c r="B91" s="9"/>
      <c r="C91" s="9"/>
      <c r="D91" s="9"/>
      <c r="E91" s="9"/>
      <c r="F91" s="9"/>
      <c r="G91" s="9"/>
    </row>
    <row r="92">
      <c r="A92" s="8"/>
      <c r="B92" s="9"/>
      <c r="C92" s="9"/>
      <c r="D92" s="9"/>
      <c r="E92" s="9"/>
      <c r="F92" s="9"/>
      <c r="G92" s="9"/>
    </row>
    <row r="93">
      <c r="A93" s="8"/>
      <c r="B93" s="9"/>
      <c r="C93" s="9"/>
      <c r="D93" s="9"/>
      <c r="E93" s="9"/>
      <c r="F93" s="9"/>
      <c r="G93" s="9"/>
    </row>
    <row r="94">
      <c r="A94" s="8"/>
      <c r="B94" s="9"/>
      <c r="C94" s="9"/>
      <c r="D94" s="9"/>
      <c r="E94" s="9"/>
      <c r="F94" s="9"/>
      <c r="G94" s="9"/>
    </row>
    <row r="95">
      <c r="A95" s="8"/>
      <c r="B95" s="9"/>
      <c r="C95" s="9"/>
      <c r="D95" s="9"/>
      <c r="E95" s="9"/>
      <c r="F95" s="9"/>
      <c r="G95" s="9"/>
    </row>
    <row r="96">
      <c r="A96" s="8"/>
      <c r="B96" s="9"/>
      <c r="C96" s="9"/>
      <c r="D96" s="9"/>
      <c r="E96" s="9"/>
      <c r="F96" s="9"/>
      <c r="G96" s="9"/>
    </row>
    <row r="97">
      <c r="A97" s="8"/>
      <c r="B97" s="9"/>
      <c r="C97" s="9"/>
      <c r="D97" s="9"/>
      <c r="E97" s="9"/>
      <c r="F97" s="9"/>
      <c r="G97" s="9"/>
    </row>
    <row r="98">
      <c r="A98" s="8"/>
      <c r="B98" s="9"/>
      <c r="C98" s="9"/>
      <c r="D98" s="9"/>
      <c r="E98" s="9"/>
      <c r="F98" s="9"/>
      <c r="G98" s="9"/>
    </row>
    <row r="99">
      <c r="A99" s="8"/>
      <c r="B99" s="9"/>
      <c r="C99" s="9"/>
      <c r="D99" s="9"/>
      <c r="E99" s="9"/>
      <c r="F99" s="9"/>
      <c r="G99" s="9"/>
    </row>
    <row r="100">
      <c r="A100" s="8"/>
      <c r="B100" s="9"/>
      <c r="C100" s="9"/>
      <c r="D100" s="9"/>
      <c r="E100" s="9"/>
      <c r="F100" s="9"/>
      <c r="G100" s="9"/>
    </row>
    <row r="101">
      <c r="A101" s="8"/>
      <c r="B101" s="9"/>
      <c r="C101" s="9"/>
      <c r="D101" s="9"/>
      <c r="E101" s="9"/>
      <c r="F101" s="9"/>
      <c r="G101" s="9"/>
    </row>
    <row r="102">
      <c r="A102" s="8"/>
      <c r="B102" s="9"/>
      <c r="C102" s="9"/>
      <c r="D102" s="9"/>
      <c r="E102" s="9"/>
      <c r="F102" s="9"/>
      <c r="G102" s="9"/>
    </row>
    <row r="103">
      <c r="A103" s="8"/>
      <c r="B103" s="9"/>
      <c r="C103" s="9"/>
      <c r="D103" s="9"/>
      <c r="E103" s="9"/>
      <c r="F103" s="9"/>
      <c r="G103" s="9"/>
    </row>
    <row r="104">
      <c r="A104" s="8"/>
      <c r="B104" s="9"/>
      <c r="C104" s="9"/>
      <c r="D104" s="9"/>
      <c r="E104" s="9"/>
      <c r="F104" s="9"/>
      <c r="G104" s="9"/>
    </row>
    <row r="105">
      <c r="A105" s="8"/>
      <c r="B105" s="9"/>
      <c r="C105" s="9"/>
      <c r="D105" s="9"/>
      <c r="E105" s="9"/>
      <c r="F105" s="9"/>
      <c r="G105" s="9"/>
    </row>
    <row r="106">
      <c r="A106" s="8"/>
      <c r="B106" s="9"/>
      <c r="C106" s="9"/>
      <c r="D106" s="9"/>
      <c r="E106" s="9"/>
      <c r="F106" s="9"/>
      <c r="G106" s="9"/>
    </row>
    <row r="107">
      <c r="A107" s="8"/>
      <c r="B107" s="9"/>
      <c r="C107" s="9"/>
      <c r="D107" s="9"/>
      <c r="E107" s="9"/>
      <c r="F107" s="9"/>
      <c r="G107" s="9"/>
    </row>
    <row r="108">
      <c r="A108" s="8"/>
      <c r="B108" s="9"/>
      <c r="C108" s="9"/>
      <c r="D108" s="9"/>
      <c r="E108" s="9"/>
      <c r="F108" s="9"/>
      <c r="G108" s="9"/>
    </row>
    <row r="109">
      <c r="A109" s="8"/>
      <c r="B109" s="9"/>
      <c r="C109" s="9"/>
      <c r="D109" s="9"/>
      <c r="E109" s="9"/>
      <c r="F109" s="9"/>
      <c r="G109" s="9"/>
    </row>
    <row r="110">
      <c r="A110" s="8"/>
      <c r="B110" s="9"/>
      <c r="C110" s="9"/>
      <c r="D110" s="9"/>
      <c r="E110" s="9"/>
      <c r="F110" s="9"/>
      <c r="G110" s="9"/>
    </row>
    <row r="111">
      <c r="A111" s="8"/>
      <c r="B111" s="9"/>
      <c r="C111" s="9"/>
      <c r="D111" s="9"/>
      <c r="E111" s="9"/>
      <c r="F111" s="9"/>
      <c r="G111" s="9"/>
    </row>
    <row r="112">
      <c r="A112" s="8"/>
      <c r="B112" s="9"/>
      <c r="C112" s="9"/>
      <c r="D112" s="9"/>
      <c r="E112" s="9"/>
      <c r="F112" s="9"/>
      <c r="G112" s="9"/>
    </row>
    <row r="113">
      <c r="A113" s="8"/>
      <c r="B113" s="9"/>
      <c r="C113" s="9"/>
      <c r="D113" s="9"/>
      <c r="E113" s="9"/>
      <c r="F113" s="9"/>
      <c r="G113" s="9"/>
    </row>
    <row r="114">
      <c r="A114" s="8"/>
      <c r="B114" s="9"/>
      <c r="C114" s="9"/>
      <c r="D114" s="9"/>
      <c r="E114" s="9"/>
      <c r="F114" s="9"/>
      <c r="G114" s="9"/>
    </row>
    <row r="115">
      <c r="A115" s="8"/>
      <c r="B115" s="9"/>
      <c r="C115" s="9"/>
      <c r="D115" s="9"/>
      <c r="E115" s="9"/>
      <c r="F115" s="9"/>
      <c r="G115" s="9"/>
    </row>
    <row r="116">
      <c r="A116" s="8"/>
      <c r="B116" s="9"/>
      <c r="C116" s="9"/>
      <c r="D116" s="9"/>
      <c r="E116" s="9"/>
      <c r="F116" s="9"/>
      <c r="G116" s="9"/>
    </row>
    <row r="117">
      <c r="A117" s="8"/>
      <c r="B117" s="9"/>
      <c r="C117" s="9"/>
      <c r="D117" s="9"/>
      <c r="E117" s="9"/>
      <c r="F117" s="9"/>
      <c r="G117" s="9"/>
    </row>
    <row r="118">
      <c r="A118" s="8"/>
      <c r="B118" s="9"/>
      <c r="C118" s="9"/>
      <c r="D118" s="9"/>
      <c r="E118" s="9"/>
      <c r="F118" s="9"/>
      <c r="G118" s="9"/>
    </row>
    <row r="119">
      <c r="A119" s="8"/>
      <c r="B119" s="9"/>
      <c r="C119" s="9"/>
      <c r="D119" s="9"/>
      <c r="E119" s="9"/>
      <c r="F119" s="9"/>
      <c r="G119" s="9"/>
    </row>
    <row r="120">
      <c r="A120" s="8"/>
      <c r="B120" s="9"/>
      <c r="C120" s="9"/>
      <c r="D120" s="9"/>
      <c r="E120" s="9"/>
      <c r="F120" s="9"/>
      <c r="G120" s="9"/>
    </row>
    <row r="121">
      <c r="A121" s="8"/>
      <c r="B121" s="9"/>
      <c r="C121" s="9"/>
      <c r="D121" s="9"/>
      <c r="E121" s="9"/>
      <c r="F121" s="9"/>
      <c r="G121" s="9"/>
    </row>
    <row r="122">
      <c r="A122" s="8"/>
      <c r="B122" s="9"/>
      <c r="C122" s="9"/>
      <c r="D122" s="9"/>
      <c r="E122" s="9"/>
      <c r="F122" s="9"/>
      <c r="G122" s="9"/>
    </row>
    <row r="123">
      <c r="A123" s="8"/>
      <c r="B123" s="9"/>
      <c r="C123" s="9"/>
      <c r="D123" s="9"/>
      <c r="E123" s="9"/>
      <c r="F123" s="9"/>
      <c r="G123" s="9"/>
    </row>
    <row r="124">
      <c r="A124" s="8"/>
      <c r="B124" s="9"/>
      <c r="C124" s="9"/>
      <c r="D124" s="9"/>
      <c r="E124" s="9"/>
      <c r="F124" s="9"/>
      <c r="G124" s="9"/>
    </row>
    <row r="125">
      <c r="A125" s="8"/>
      <c r="B125" s="9"/>
      <c r="C125" s="9"/>
      <c r="D125" s="9"/>
      <c r="E125" s="9"/>
      <c r="F125" s="9"/>
      <c r="G125" s="9"/>
    </row>
    <row r="126">
      <c r="A126" s="8"/>
      <c r="B126" s="9"/>
      <c r="C126" s="9"/>
      <c r="D126" s="9"/>
      <c r="E126" s="9"/>
      <c r="F126" s="9"/>
      <c r="G126" s="9"/>
    </row>
    <row r="127">
      <c r="A127" s="8"/>
      <c r="B127" s="9"/>
      <c r="C127" s="9"/>
      <c r="D127" s="9"/>
      <c r="E127" s="9"/>
      <c r="F127" s="9"/>
      <c r="G127" s="9"/>
    </row>
    <row r="128">
      <c r="A128" s="8"/>
      <c r="B128" s="9"/>
      <c r="C128" s="9"/>
      <c r="D128" s="9"/>
      <c r="E128" s="9"/>
      <c r="F128" s="9"/>
      <c r="G128" s="9"/>
    </row>
    <row r="129">
      <c r="A129" s="8"/>
      <c r="B129" s="9"/>
      <c r="C129" s="9"/>
      <c r="D129" s="9"/>
      <c r="E129" s="9"/>
      <c r="F129" s="9"/>
      <c r="G129" s="9"/>
    </row>
    <row r="130">
      <c r="A130" s="8"/>
      <c r="B130" s="9"/>
      <c r="C130" s="9"/>
      <c r="D130" s="9"/>
      <c r="E130" s="9"/>
      <c r="F130" s="9"/>
      <c r="G130" s="9"/>
    </row>
    <row r="131">
      <c r="A131" s="8"/>
      <c r="B131" s="9"/>
      <c r="C131" s="9"/>
      <c r="D131" s="9"/>
      <c r="E131" s="9"/>
      <c r="F131" s="9"/>
      <c r="G131" s="9"/>
    </row>
    <row r="132">
      <c r="A132" s="8"/>
      <c r="B132" s="9"/>
      <c r="C132" s="9"/>
      <c r="D132" s="9"/>
      <c r="E132" s="9"/>
      <c r="F132" s="9"/>
      <c r="G132" s="9"/>
    </row>
    <row r="133">
      <c r="A133" s="8"/>
      <c r="B133" s="9"/>
      <c r="C133" s="9"/>
      <c r="D133" s="9"/>
      <c r="E133" s="9"/>
      <c r="F133" s="9"/>
      <c r="G133" s="9"/>
    </row>
    <row r="134">
      <c r="A134" s="8"/>
      <c r="B134" s="9"/>
      <c r="C134" s="9"/>
      <c r="D134" s="9"/>
      <c r="E134" s="9"/>
      <c r="F134" s="9"/>
      <c r="G134" s="9"/>
    </row>
    <row r="135">
      <c r="A135" s="8"/>
      <c r="B135" s="9"/>
      <c r="C135" s="9"/>
      <c r="D135" s="9"/>
      <c r="E135" s="9"/>
      <c r="F135" s="9"/>
      <c r="G135" s="9"/>
    </row>
    <row r="136">
      <c r="A136" s="8"/>
      <c r="B136" s="9"/>
      <c r="C136" s="9"/>
      <c r="D136" s="9"/>
      <c r="E136" s="9"/>
      <c r="F136" s="9"/>
      <c r="G136" s="9"/>
    </row>
    <row r="137">
      <c r="A137" s="8"/>
      <c r="B137" s="9"/>
      <c r="C137" s="9"/>
      <c r="D137" s="9"/>
      <c r="E137" s="9"/>
      <c r="F137" s="9"/>
      <c r="G137" s="9"/>
    </row>
    <row r="138">
      <c r="A138" s="8"/>
      <c r="B138" s="9"/>
      <c r="C138" s="9"/>
      <c r="D138" s="9"/>
      <c r="E138" s="9"/>
      <c r="F138" s="9"/>
      <c r="G138" s="9"/>
    </row>
    <row r="139">
      <c r="A139" s="8"/>
      <c r="B139" s="9"/>
      <c r="C139" s="9"/>
      <c r="D139" s="9"/>
      <c r="E139" s="9"/>
      <c r="F139" s="9"/>
      <c r="G139" s="9"/>
    </row>
    <row r="140">
      <c r="A140" s="8"/>
      <c r="B140" s="9"/>
      <c r="C140" s="9"/>
      <c r="D140" s="9"/>
      <c r="E140" s="9"/>
      <c r="F140" s="9"/>
      <c r="G140" s="9"/>
    </row>
    <row r="141">
      <c r="A141" s="8"/>
      <c r="B141" s="9"/>
      <c r="C141" s="9"/>
      <c r="D141" s="9"/>
      <c r="E141" s="9"/>
      <c r="F141" s="9"/>
      <c r="G141" s="9"/>
    </row>
    <row r="142">
      <c r="A142" s="8"/>
      <c r="B142" s="9"/>
      <c r="C142" s="9"/>
      <c r="D142" s="9"/>
      <c r="E142" s="9"/>
      <c r="F142" s="9"/>
      <c r="G142" s="9"/>
    </row>
    <row r="143">
      <c r="A143" s="8"/>
      <c r="B143" s="9"/>
      <c r="C143" s="9"/>
      <c r="D143" s="9"/>
      <c r="E143" s="9"/>
      <c r="F143" s="9"/>
      <c r="G143" s="9"/>
    </row>
    <row r="144">
      <c r="A144" s="8"/>
      <c r="B144" s="9"/>
      <c r="C144" s="9"/>
      <c r="D144" s="9"/>
      <c r="E144" s="9"/>
      <c r="F144" s="9"/>
      <c r="G144" s="9"/>
    </row>
    <row r="145">
      <c r="A145" s="8"/>
      <c r="B145" s="9"/>
      <c r="C145" s="9"/>
      <c r="D145" s="9"/>
      <c r="E145" s="9"/>
      <c r="F145" s="9"/>
      <c r="G145" s="9"/>
    </row>
    <row r="146">
      <c r="A146" s="8"/>
      <c r="B146" s="9"/>
      <c r="C146" s="9"/>
      <c r="D146" s="9"/>
      <c r="E146" s="9"/>
      <c r="F146" s="9"/>
      <c r="G146" s="9"/>
    </row>
    <row r="147">
      <c r="A147" s="8"/>
      <c r="B147" s="9"/>
      <c r="C147" s="9"/>
      <c r="D147" s="9"/>
      <c r="E147" s="9"/>
      <c r="F147" s="9"/>
      <c r="G147" s="9"/>
    </row>
    <row r="148">
      <c r="A148" s="8"/>
      <c r="B148" s="9"/>
      <c r="C148" s="9"/>
      <c r="D148" s="9"/>
      <c r="E148" s="9"/>
      <c r="F148" s="9"/>
      <c r="G148" s="9"/>
    </row>
    <row r="149">
      <c r="A149" s="8"/>
      <c r="B149" s="9"/>
      <c r="C149" s="9"/>
      <c r="D149" s="9"/>
      <c r="E149" s="9"/>
      <c r="F149" s="9"/>
      <c r="G149" s="9"/>
    </row>
    <row r="150">
      <c r="A150" s="8"/>
      <c r="B150" s="9"/>
      <c r="C150" s="9"/>
      <c r="D150" s="9"/>
      <c r="E150" s="9"/>
      <c r="F150" s="9"/>
      <c r="G150" s="9"/>
    </row>
    <row r="151">
      <c r="A151" s="8"/>
      <c r="B151" s="9"/>
      <c r="C151" s="9"/>
      <c r="D151" s="9"/>
      <c r="E151" s="9"/>
      <c r="F151" s="9"/>
      <c r="G151" s="9"/>
    </row>
    <row r="152">
      <c r="A152" s="8"/>
      <c r="B152" s="9"/>
      <c r="C152" s="9"/>
      <c r="D152" s="9"/>
      <c r="E152" s="9"/>
      <c r="F152" s="9"/>
      <c r="G152" s="9"/>
    </row>
    <row r="153">
      <c r="A153" s="8"/>
      <c r="B153" s="9"/>
      <c r="C153" s="9"/>
      <c r="D153" s="9"/>
      <c r="E153" s="9"/>
      <c r="F153" s="9"/>
      <c r="G153" s="9"/>
    </row>
    <row r="154">
      <c r="A154" s="8"/>
      <c r="B154" s="9"/>
      <c r="C154" s="9"/>
      <c r="D154" s="9"/>
      <c r="E154" s="9"/>
      <c r="F154" s="9"/>
      <c r="G154" s="9"/>
    </row>
    <row r="155">
      <c r="A155" s="8"/>
      <c r="B155" s="9"/>
      <c r="C155" s="9"/>
      <c r="D155" s="9"/>
      <c r="E155" s="9"/>
      <c r="F155" s="9"/>
      <c r="G155" s="9"/>
    </row>
    <row r="156">
      <c r="A156" s="8"/>
      <c r="B156" s="9"/>
      <c r="C156" s="9"/>
      <c r="D156" s="9"/>
      <c r="E156" s="9"/>
      <c r="F156" s="9"/>
      <c r="G156" s="9"/>
    </row>
    <row r="157">
      <c r="A157" s="8"/>
      <c r="B157" s="9"/>
      <c r="C157" s="9"/>
      <c r="D157" s="9"/>
      <c r="E157" s="9"/>
      <c r="F157" s="9"/>
      <c r="G157" s="9"/>
    </row>
    <row r="158">
      <c r="A158" s="8"/>
      <c r="B158" s="9"/>
      <c r="C158" s="9"/>
      <c r="D158" s="9"/>
      <c r="E158" s="9"/>
      <c r="F158" s="9"/>
      <c r="G158" s="9"/>
    </row>
    <row r="159">
      <c r="A159" s="8"/>
      <c r="B159" s="9"/>
      <c r="C159" s="9"/>
      <c r="D159" s="9"/>
      <c r="E159" s="9"/>
      <c r="F159" s="9"/>
      <c r="G159" s="9"/>
    </row>
    <row r="160">
      <c r="A160" s="8"/>
      <c r="B160" s="9"/>
      <c r="C160" s="9"/>
      <c r="D160" s="9"/>
      <c r="E160" s="9"/>
      <c r="F160" s="9"/>
      <c r="G160" s="9"/>
    </row>
    <row r="161">
      <c r="A161" s="8"/>
      <c r="B161" s="9"/>
      <c r="C161" s="9"/>
      <c r="D161" s="9"/>
      <c r="E161" s="9"/>
      <c r="F161" s="9"/>
      <c r="G161" s="9"/>
    </row>
    <row r="162">
      <c r="A162" s="8"/>
      <c r="B162" s="9"/>
      <c r="C162" s="9"/>
      <c r="D162" s="9"/>
      <c r="E162" s="9"/>
      <c r="F162" s="9"/>
      <c r="G162" s="9"/>
    </row>
    <row r="163">
      <c r="A163" s="8"/>
      <c r="B163" s="9"/>
      <c r="C163" s="9"/>
      <c r="D163" s="9"/>
      <c r="E163" s="9"/>
      <c r="F163" s="9"/>
      <c r="G163" s="9"/>
    </row>
    <row r="164">
      <c r="A164" s="8"/>
      <c r="B164" s="9"/>
      <c r="C164" s="9"/>
      <c r="D164" s="9"/>
      <c r="E164" s="9"/>
      <c r="F164" s="9"/>
      <c r="G164" s="9"/>
    </row>
    <row r="165">
      <c r="A165" s="8"/>
      <c r="B165" s="9"/>
      <c r="C165" s="9"/>
      <c r="D165" s="9"/>
      <c r="E165" s="9"/>
      <c r="F165" s="9"/>
      <c r="G165" s="9"/>
    </row>
    <row r="166">
      <c r="A166" s="8"/>
      <c r="B166" s="9"/>
      <c r="C166" s="9"/>
      <c r="D166" s="9"/>
      <c r="E166" s="9"/>
      <c r="F166" s="9"/>
      <c r="G166" s="9"/>
    </row>
    <row r="167">
      <c r="A167" s="8"/>
      <c r="B167" s="9"/>
      <c r="C167" s="9"/>
      <c r="D167" s="9"/>
      <c r="E167" s="9"/>
      <c r="F167" s="9"/>
      <c r="G167" s="9"/>
    </row>
    <row r="168">
      <c r="A168" s="8"/>
      <c r="B168" s="9"/>
      <c r="C168" s="9"/>
      <c r="D168" s="9"/>
      <c r="E168" s="9"/>
      <c r="F168" s="9"/>
      <c r="G168" s="9"/>
    </row>
    <row r="169">
      <c r="A169" s="8"/>
      <c r="B169" s="9"/>
      <c r="C169" s="9"/>
      <c r="D169" s="9"/>
      <c r="E169" s="9"/>
      <c r="F169" s="9"/>
      <c r="G169" s="9"/>
    </row>
    <row r="170">
      <c r="A170" s="8"/>
      <c r="B170" s="9"/>
      <c r="C170" s="9"/>
      <c r="D170" s="9"/>
      <c r="E170" s="9"/>
      <c r="F170" s="9"/>
      <c r="G170" s="9"/>
    </row>
    <row r="171">
      <c r="A171" s="8"/>
      <c r="B171" s="9"/>
      <c r="C171" s="9"/>
      <c r="D171" s="9"/>
      <c r="E171" s="9"/>
      <c r="F171" s="9"/>
      <c r="G171" s="9"/>
    </row>
    <row r="172">
      <c r="A172" s="8"/>
      <c r="B172" s="9"/>
      <c r="C172" s="9"/>
      <c r="D172" s="9"/>
      <c r="E172" s="9"/>
      <c r="F172" s="9"/>
      <c r="G172" s="9"/>
    </row>
    <row r="173">
      <c r="A173" s="8"/>
      <c r="B173" s="9"/>
      <c r="C173" s="9"/>
      <c r="D173" s="9"/>
      <c r="E173" s="9"/>
      <c r="F173" s="9"/>
      <c r="G173" s="9"/>
    </row>
    <row r="174">
      <c r="A174" s="8"/>
      <c r="B174" s="9"/>
      <c r="C174" s="9"/>
      <c r="D174" s="9"/>
      <c r="E174" s="9"/>
      <c r="F174" s="9"/>
      <c r="G174" s="9"/>
    </row>
    <row r="175">
      <c r="A175" s="8"/>
      <c r="B175" s="9"/>
      <c r="C175" s="9"/>
      <c r="D175" s="9"/>
      <c r="E175" s="9"/>
      <c r="F175" s="9"/>
      <c r="G175" s="9"/>
    </row>
    <row r="176">
      <c r="A176" s="8"/>
      <c r="B176" s="9"/>
      <c r="C176" s="9"/>
      <c r="D176" s="9"/>
      <c r="E176" s="9"/>
      <c r="F176" s="9"/>
      <c r="G176" s="9"/>
    </row>
    <row r="177">
      <c r="A177" s="8"/>
      <c r="B177" s="9"/>
      <c r="C177" s="9"/>
      <c r="D177" s="9"/>
      <c r="E177" s="9"/>
      <c r="F177" s="9"/>
      <c r="G177" s="9"/>
    </row>
    <row r="178">
      <c r="A178" s="8"/>
      <c r="B178" s="9"/>
      <c r="C178" s="9"/>
      <c r="D178" s="9"/>
      <c r="E178" s="9"/>
      <c r="F178" s="9"/>
      <c r="G178" s="9"/>
    </row>
    <row r="179">
      <c r="A179" s="8"/>
      <c r="B179" s="9"/>
      <c r="C179" s="9"/>
      <c r="D179" s="9"/>
      <c r="E179" s="9"/>
      <c r="F179" s="9"/>
      <c r="G179" s="9"/>
    </row>
    <row r="180">
      <c r="A180" s="8"/>
      <c r="B180" s="9"/>
      <c r="C180" s="9"/>
      <c r="D180" s="9"/>
      <c r="E180" s="9"/>
      <c r="F180" s="9"/>
      <c r="G180" s="9"/>
    </row>
    <row r="181">
      <c r="A181" s="8"/>
      <c r="B181" s="9"/>
      <c r="C181" s="9"/>
      <c r="D181" s="9"/>
      <c r="E181" s="9"/>
      <c r="F181" s="9"/>
      <c r="G181" s="9"/>
    </row>
    <row r="182">
      <c r="A182" s="8"/>
      <c r="B182" s="9"/>
      <c r="C182" s="9"/>
      <c r="D182" s="9"/>
      <c r="E182" s="9"/>
      <c r="F182" s="9"/>
      <c r="G182" s="9"/>
    </row>
    <row r="183">
      <c r="A183" s="8"/>
      <c r="B183" s="9"/>
      <c r="C183" s="9"/>
      <c r="D183" s="9"/>
      <c r="E183" s="9"/>
      <c r="F183" s="9"/>
      <c r="G183" s="9"/>
    </row>
    <row r="184">
      <c r="A184" s="8"/>
      <c r="B184" s="9"/>
      <c r="C184" s="9"/>
      <c r="D184" s="9"/>
      <c r="E184" s="9"/>
      <c r="F184" s="9"/>
      <c r="G184" s="9"/>
    </row>
    <row r="185">
      <c r="A185" s="8"/>
      <c r="B185" s="9"/>
      <c r="C185" s="9"/>
      <c r="D185" s="9"/>
      <c r="E185" s="9"/>
      <c r="F185" s="9"/>
      <c r="G185" s="9"/>
    </row>
    <row r="186">
      <c r="A186" s="8"/>
      <c r="B186" s="9"/>
      <c r="C186" s="9"/>
      <c r="D186" s="9"/>
      <c r="E186" s="9"/>
      <c r="F186" s="9"/>
      <c r="G186" s="9"/>
    </row>
    <row r="187">
      <c r="A187" s="8"/>
      <c r="B187" s="9"/>
      <c r="C187" s="9"/>
      <c r="D187" s="9"/>
      <c r="E187" s="9"/>
      <c r="F187" s="9"/>
      <c r="G187" s="9"/>
    </row>
    <row r="188">
      <c r="A188" s="8"/>
      <c r="B188" s="9"/>
      <c r="C188" s="9"/>
      <c r="D188" s="9"/>
      <c r="E188" s="9"/>
      <c r="F188" s="9"/>
      <c r="G188" s="9"/>
    </row>
    <row r="189">
      <c r="A189" s="8"/>
      <c r="B189" s="9"/>
      <c r="C189" s="9"/>
      <c r="D189" s="9"/>
      <c r="E189" s="9"/>
      <c r="F189" s="9"/>
      <c r="G189" s="9"/>
    </row>
    <row r="190">
      <c r="A190" s="8"/>
      <c r="B190" s="9"/>
      <c r="C190" s="9"/>
      <c r="D190" s="9"/>
      <c r="E190" s="9"/>
      <c r="F190" s="9"/>
      <c r="G190" s="9"/>
    </row>
    <row r="191">
      <c r="A191" s="8"/>
      <c r="B191" s="9"/>
      <c r="C191" s="9"/>
      <c r="D191" s="9"/>
      <c r="E191" s="9"/>
      <c r="F191" s="9"/>
      <c r="G191" s="9"/>
    </row>
    <row r="192">
      <c r="A192" s="8"/>
      <c r="B192" s="9"/>
      <c r="C192" s="9"/>
      <c r="D192" s="9"/>
      <c r="E192" s="9"/>
      <c r="F192" s="9"/>
      <c r="G192" s="9"/>
    </row>
    <row r="193">
      <c r="A193" s="8"/>
      <c r="B193" s="9"/>
      <c r="C193" s="9"/>
      <c r="D193" s="9"/>
      <c r="E193" s="9"/>
      <c r="F193" s="9"/>
      <c r="G193" s="9"/>
    </row>
    <row r="194">
      <c r="A194" s="8"/>
      <c r="B194" s="9"/>
      <c r="C194" s="9"/>
      <c r="D194" s="9"/>
      <c r="E194" s="9"/>
      <c r="F194" s="9"/>
      <c r="G194" s="9"/>
    </row>
    <row r="195">
      <c r="A195" s="8"/>
      <c r="B195" s="9"/>
      <c r="C195" s="9"/>
      <c r="D195" s="9"/>
      <c r="E195" s="9"/>
      <c r="F195" s="9"/>
      <c r="G195" s="9"/>
    </row>
    <row r="196">
      <c r="A196" s="8"/>
      <c r="B196" s="9"/>
      <c r="C196" s="9"/>
      <c r="D196" s="9"/>
      <c r="E196" s="9"/>
      <c r="F196" s="9"/>
      <c r="G196" s="9"/>
    </row>
    <row r="197">
      <c r="A197" s="8"/>
      <c r="B197" s="9"/>
      <c r="C197" s="9"/>
      <c r="D197" s="9"/>
      <c r="E197" s="9"/>
      <c r="F197" s="9"/>
      <c r="G197" s="9"/>
    </row>
    <row r="198">
      <c r="A198" s="8"/>
      <c r="B198" s="9"/>
      <c r="C198" s="9"/>
      <c r="D198" s="9"/>
      <c r="E198" s="9"/>
      <c r="F198" s="9"/>
      <c r="G198" s="9"/>
    </row>
    <row r="199">
      <c r="A199" s="8"/>
      <c r="B199" s="9"/>
      <c r="C199" s="9"/>
      <c r="D199" s="9"/>
      <c r="E199" s="9"/>
      <c r="F199" s="9"/>
      <c r="G199" s="9"/>
    </row>
    <row r="200">
      <c r="A200" s="8"/>
      <c r="B200" s="9"/>
      <c r="C200" s="9"/>
      <c r="D200" s="9"/>
      <c r="E200" s="9"/>
      <c r="F200" s="9"/>
      <c r="G200" s="9"/>
    </row>
    <row r="201">
      <c r="A201" s="8"/>
      <c r="B201" s="9"/>
      <c r="C201" s="9"/>
      <c r="D201" s="9"/>
      <c r="E201" s="9"/>
      <c r="F201" s="9"/>
      <c r="G201" s="9"/>
    </row>
    <row r="202">
      <c r="A202" s="8"/>
      <c r="B202" s="9"/>
      <c r="C202" s="9"/>
      <c r="D202" s="9"/>
      <c r="E202" s="9"/>
      <c r="F202" s="9"/>
      <c r="G202" s="9"/>
    </row>
    <row r="203">
      <c r="A203" s="8"/>
      <c r="B203" s="9"/>
      <c r="C203" s="9"/>
      <c r="D203" s="9"/>
      <c r="E203" s="9"/>
      <c r="F203" s="9"/>
      <c r="G203" s="9"/>
    </row>
    <row r="204">
      <c r="A204" s="8"/>
      <c r="B204" s="9"/>
      <c r="C204" s="9"/>
      <c r="D204" s="9"/>
      <c r="E204" s="9"/>
      <c r="F204" s="9"/>
      <c r="G204" s="9"/>
    </row>
    <row r="205">
      <c r="A205" s="8"/>
      <c r="B205" s="9"/>
      <c r="C205" s="9"/>
      <c r="D205" s="9"/>
      <c r="E205" s="9"/>
      <c r="F205" s="9"/>
      <c r="G205" s="9"/>
    </row>
    <row r="206">
      <c r="A206" s="8"/>
      <c r="B206" s="9"/>
      <c r="C206" s="9"/>
      <c r="D206" s="9"/>
      <c r="E206" s="9"/>
      <c r="F206" s="9"/>
      <c r="G206" s="9"/>
    </row>
    <row r="207">
      <c r="A207" s="8"/>
      <c r="B207" s="9"/>
      <c r="C207" s="9"/>
      <c r="D207" s="9"/>
      <c r="E207" s="9"/>
      <c r="F207" s="9"/>
      <c r="G207" s="9"/>
    </row>
    <row r="208">
      <c r="A208" s="8"/>
      <c r="B208" s="9"/>
      <c r="C208" s="9"/>
      <c r="D208" s="9"/>
      <c r="E208" s="9"/>
      <c r="F208" s="9"/>
      <c r="G208" s="9"/>
    </row>
    <row r="209">
      <c r="A209" s="8"/>
      <c r="B209" s="9"/>
      <c r="C209" s="9"/>
      <c r="D209" s="9"/>
      <c r="E209" s="9"/>
      <c r="F209" s="9"/>
      <c r="G209" s="9"/>
    </row>
    <row r="210">
      <c r="A210" s="8"/>
      <c r="B210" s="9"/>
      <c r="C210" s="9"/>
      <c r="D210" s="9"/>
      <c r="E210" s="9"/>
      <c r="F210" s="9"/>
      <c r="G210" s="9"/>
    </row>
    <row r="211">
      <c r="A211" s="8"/>
      <c r="B211" s="9"/>
      <c r="C211" s="9"/>
      <c r="D211" s="9"/>
      <c r="E211" s="9"/>
      <c r="F211" s="9"/>
      <c r="G211" s="9"/>
    </row>
    <row r="212">
      <c r="A212" s="8"/>
      <c r="B212" s="9"/>
      <c r="C212" s="9"/>
      <c r="D212" s="9"/>
      <c r="E212" s="9"/>
      <c r="F212" s="9"/>
      <c r="G212" s="9"/>
    </row>
    <row r="213">
      <c r="A213" s="8"/>
      <c r="B213" s="9"/>
      <c r="C213" s="9"/>
      <c r="D213" s="9"/>
      <c r="E213" s="9"/>
      <c r="F213" s="9"/>
      <c r="G213" s="9"/>
    </row>
    <row r="214">
      <c r="A214" s="8"/>
      <c r="B214" s="9"/>
      <c r="C214" s="9"/>
      <c r="D214" s="9"/>
      <c r="E214" s="9"/>
      <c r="F214" s="9"/>
      <c r="G214" s="9"/>
    </row>
    <row r="215">
      <c r="A215" s="8"/>
      <c r="B215" s="9"/>
      <c r="C215" s="9"/>
      <c r="D215" s="9"/>
      <c r="E215" s="9"/>
      <c r="F215" s="9"/>
      <c r="G215" s="9"/>
    </row>
    <row r="216">
      <c r="A216" s="8"/>
      <c r="B216" s="9"/>
      <c r="C216" s="9"/>
      <c r="D216" s="9"/>
      <c r="E216" s="9"/>
      <c r="F216" s="9"/>
      <c r="G216" s="9"/>
    </row>
    <row r="217">
      <c r="A217" s="8"/>
      <c r="B217" s="9"/>
      <c r="C217" s="9"/>
      <c r="D217" s="9"/>
      <c r="E217" s="9"/>
      <c r="F217" s="9"/>
      <c r="G217" s="9"/>
    </row>
    <row r="218">
      <c r="A218" s="8"/>
      <c r="B218" s="9"/>
      <c r="C218" s="9"/>
      <c r="D218" s="9"/>
      <c r="E218" s="9"/>
      <c r="F218" s="9"/>
      <c r="G218" s="9"/>
    </row>
    <row r="219">
      <c r="A219" s="8"/>
      <c r="B219" s="9"/>
      <c r="C219" s="9"/>
      <c r="D219" s="9"/>
      <c r="E219" s="9"/>
      <c r="F219" s="9"/>
      <c r="G219" s="9"/>
    </row>
    <row r="220">
      <c r="A220" s="8"/>
      <c r="B220" s="9"/>
      <c r="C220" s="9"/>
      <c r="D220" s="9"/>
      <c r="E220" s="9"/>
      <c r="F220" s="9"/>
      <c r="G220" s="9"/>
    </row>
    <row r="221">
      <c r="A221" s="8"/>
      <c r="B221" s="9"/>
      <c r="C221" s="9"/>
      <c r="D221" s="9"/>
      <c r="E221" s="9"/>
      <c r="F221" s="9"/>
      <c r="G221" s="9"/>
    </row>
    <row r="222">
      <c r="A222" s="8"/>
      <c r="B222" s="9"/>
      <c r="C222" s="9"/>
      <c r="D222" s="9"/>
      <c r="E222" s="9"/>
      <c r="F222" s="9"/>
      <c r="G222" s="9"/>
    </row>
    <row r="223">
      <c r="A223" s="8"/>
      <c r="B223" s="9"/>
      <c r="C223" s="9"/>
      <c r="D223" s="9"/>
      <c r="E223" s="9"/>
      <c r="F223" s="9"/>
      <c r="G223" s="9"/>
    </row>
    <row r="224">
      <c r="A224" s="8"/>
      <c r="B224" s="9"/>
      <c r="C224" s="9"/>
      <c r="D224" s="9"/>
      <c r="E224" s="9"/>
      <c r="F224" s="9"/>
      <c r="G224" s="9"/>
    </row>
    <row r="225">
      <c r="A225" s="8"/>
      <c r="B225" s="9"/>
      <c r="C225" s="9"/>
      <c r="D225" s="9"/>
      <c r="E225" s="9"/>
      <c r="F225" s="9"/>
      <c r="G225" s="9"/>
    </row>
    <row r="226">
      <c r="A226" s="8"/>
      <c r="B226" s="9"/>
      <c r="C226" s="9"/>
      <c r="D226" s="9"/>
      <c r="E226" s="9"/>
      <c r="F226" s="9"/>
      <c r="G226" s="9"/>
    </row>
    <row r="227">
      <c r="A227" s="8"/>
      <c r="B227" s="9"/>
      <c r="C227" s="9"/>
      <c r="D227" s="9"/>
      <c r="E227" s="9"/>
      <c r="F227" s="9"/>
      <c r="G227" s="9"/>
    </row>
    <row r="228">
      <c r="A228" s="8"/>
      <c r="B228" s="9"/>
      <c r="C228" s="9"/>
      <c r="D228" s="9"/>
      <c r="E228" s="9"/>
      <c r="F228" s="9"/>
      <c r="G228" s="9"/>
    </row>
    <row r="229">
      <c r="A229" s="8"/>
      <c r="B229" s="9"/>
      <c r="C229" s="9"/>
      <c r="D229" s="9"/>
      <c r="E229" s="9"/>
      <c r="F229" s="9"/>
      <c r="G229" s="9"/>
    </row>
    <row r="230">
      <c r="A230" s="8"/>
      <c r="B230" s="9"/>
      <c r="C230" s="9"/>
      <c r="D230" s="9"/>
      <c r="E230" s="9"/>
      <c r="F230" s="9"/>
      <c r="G230" s="9"/>
    </row>
    <row r="231">
      <c r="A231" s="8"/>
      <c r="B231" s="9"/>
      <c r="C231" s="9"/>
      <c r="D231" s="9"/>
      <c r="E231" s="9"/>
      <c r="F231" s="9"/>
      <c r="G231" s="9"/>
    </row>
    <row r="232">
      <c r="A232" s="8"/>
      <c r="B232" s="9"/>
      <c r="C232" s="9"/>
      <c r="D232" s="9"/>
      <c r="E232" s="9"/>
      <c r="F232" s="9"/>
      <c r="G232" s="9"/>
    </row>
    <row r="233">
      <c r="A233" s="8"/>
      <c r="B233" s="9"/>
      <c r="C233" s="9"/>
      <c r="D233" s="9"/>
      <c r="E233" s="9"/>
      <c r="F233" s="9"/>
      <c r="G233" s="9"/>
    </row>
    <row r="234">
      <c r="A234" s="8"/>
      <c r="B234" s="9"/>
      <c r="C234" s="9"/>
      <c r="D234" s="9"/>
      <c r="E234" s="9"/>
      <c r="F234" s="9"/>
      <c r="G234" s="9"/>
    </row>
    <row r="235">
      <c r="A235" s="8"/>
      <c r="B235" s="9"/>
      <c r="C235" s="9"/>
      <c r="D235" s="9"/>
      <c r="E235" s="9"/>
      <c r="F235" s="9"/>
      <c r="G235" s="9"/>
    </row>
    <row r="236">
      <c r="A236" s="8"/>
      <c r="B236" s="9"/>
      <c r="C236" s="9"/>
      <c r="D236" s="9"/>
      <c r="E236" s="9"/>
      <c r="F236" s="9"/>
      <c r="G236" s="9"/>
    </row>
    <row r="237">
      <c r="A237" s="8"/>
      <c r="B237" s="9"/>
      <c r="C237" s="9"/>
      <c r="D237" s="9"/>
      <c r="E237" s="9"/>
      <c r="F237" s="9"/>
      <c r="G237" s="9"/>
    </row>
    <row r="238">
      <c r="A238" s="8"/>
      <c r="B238" s="9"/>
      <c r="C238" s="9"/>
      <c r="D238" s="9"/>
      <c r="E238" s="9"/>
      <c r="F238" s="9"/>
      <c r="G238" s="9"/>
    </row>
    <row r="239">
      <c r="A239" s="8"/>
      <c r="B239" s="9"/>
      <c r="C239" s="9"/>
      <c r="D239" s="9"/>
      <c r="E239" s="9"/>
      <c r="F239" s="9"/>
      <c r="G239" s="9"/>
    </row>
    <row r="240">
      <c r="A240" s="8"/>
      <c r="B240" s="9"/>
      <c r="C240" s="9"/>
      <c r="D240" s="9"/>
      <c r="E240" s="9"/>
      <c r="F240" s="9"/>
      <c r="G240" s="9"/>
    </row>
    <row r="241">
      <c r="A241" s="8"/>
      <c r="B241" s="9"/>
      <c r="C241" s="9"/>
      <c r="D241" s="9"/>
      <c r="E241" s="9"/>
      <c r="F241" s="9"/>
      <c r="G241" s="9"/>
    </row>
    <row r="242">
      <c r="A242" s="8"/>
      <c r="B242" s="9"/>
      <c r="C242" s="9"/>
      <c r="D242" s="9"/>
      <c r="E242" s="9"/>
      <c r="F242" s="9"/>
      <c r="G242" s="9"/>
    </row>
    <row r="243">
      <c r="A243" s="8"/>
      <c r="B243" s="9"/>
      <c r="C243" s="9"/>
      <c r="D243" s="9"/>
      <c r="E243" s="9"/>
      <c r="F243" s="9"/>
      <c r="G243" s="9"/>
    </row>
    <row r="244">
      <c r="A244" s="8"/>
      <c r="B244" s="9"/>
      <c r="C244" s="9"/>
      <c r="D244" s="9"/>
      <c r="E244" s="9"/>
      <c r="F244" s="9"/>
      <c r="G244" s="9"/>
    </row>
    <row r="245">
      <c r="A245" s="8"/>
      <c r="B245" s="9"/>
      <c r="C245" s="9"/>
      <c r="D245" s="9"/>
      <c r="E245" s="9"/>
      <c r="F245" s="9"/>
      <c r="G245" s="9"/>
    </row>
    <row r="246">
      <c r="A246" s="8"/>
      <c r="B246" s="9"/>
      <c r="C246" s="9"/>
      <c r="D246" s="9"/>
      <c r="E246" s="9"/>
      <c r="F246" s="9"/>
      <c r="G246" s="9"/>
    </row>
    <row r="247">
      <c r="A247" s="8"/>
      <c r="B247" s="9"/>
      <c r="C247" s="9"/>
      <c r="D247" s="9"/>
      <c r="E247" s="9"/>
      <c r="F247" s="9"/>
      <c r="G247" s="9"/>
    </row>
    <row r="248">
      <c r="A248" s="8"/>
      <c r="B248" s="9"/>
      <c r="C248" s="9"/>
      <c r="D248" s="9"/>
      <c r="E248" s="9"/>
      <c r="F248" s="9"/>
      <c r="G248" s="9"/>
    </row>
    <row r="249">
      <c r="A249" s="8"/>
      <c r="B249" s="9"/>
      <c r="C249" s="9"/>
      <c r="D249" s="9"/>
      <c r="E249" s="9"/>
      <c r="F249" s="9"/>
      <c r="G249" s="9"/>
    </row>
    <row r="250">
      <c r="A250" s="8"/>
      <c r="B250" s="9"/>
      <c r="C250" s="9"/>
      <c r="D250" s="9"/>
      <c r="E250" s="9"/>
      <c r="F250" s="9"/>
      <c r="G250" s="9"/>
    </row>
    <row r="251">
      <c r="A251" s="8"/>
      <c r="B251" s="9"/>
      <c r="C251" s="9"/>
      <c r="D251" s="9"/>
      <c r="E251" s="9"/>
      <c r="F251" s="9"/>
      <c r="G251" s="9"/>
    </row>
    <row r="252">
      <c r="A252" s="8"/>
      <c r="B252" s="9"/>
      <c r="C252" s="9"/>
      <c r="D252" s="9"/>
      <c r="E252" s="9"/>
      <c r="F252" s="9"/>
      <c r="G252" s="9"/>
    </row>
    <row r="253">
      <c r="A253" s="8"/>
      <c r="B253" s="9"/>
      <c r="C253" s="9"/>
      <c r="D253" s="9"/>
      <c r="E253" s="9"/>
      <c r="F253" s="9"/>
      <c r="G253" s="9"/>
    </row>
    <row r="254">
      <c r="A254" s="8"/>
      <c r="B254" s="9"/>
      <c r="C254" s="9"/>
      <c r="D254" s="9"/>
      <c r="E254" s="9"/>
      <c r="F254" s="9"/>
      <c r="G254" s="9"/>
    </row>
    <row r="255">
      <c r="A255" s="8"/>
      <c r="B255" s="9"/>
      <c r="C255" s="9"/>
      <c r="D255" s="9"/>
      <c r="E255" s="9"/>
      <c r="F255" s="9"/>
      <c r="G255" s="9"/>
    </row>
    <row r="256">
      <c r="A256" s="8"/>
      <c r="B256" s="9"/>
      <c r="C256" s="9"/>
      <c r="D256" s="9"/>
      <c r="E256" s="9"/>
      <c r="F256" s="9"/>
      <c r="G256" s="9"/>
    </row>
    <row r="257">
      <c r="A257" s="8"/>
      <c r="B257" s="9"/>
      <c r="C257" s="9"/>
      <c r="D257" s="9"/>
      <c r="E257" s="9"/>
      <c r="F257" s="9"/>
      <c r="G257" s="9"/>
    </row>
    <row r="258">
      <c r="A258" s="8"/>
      <c r="B258" s="9"/>
      <c r="C258" s="9"/>
      <c r="D258" s="9"/>
      <c r="E258" s="9"/>
      <c r="F258" s="9"/>
      <c r="G258" s="9"/>
    </row>
    <row r="259">
      <c r="A259" s="8"/>
      <c r="B259" s="9"/>
      <c r="C259" s="9"/>
      <c r="D259" s="9"/>
      <c r="E259" s="9"/>
      <c r="F259" s="9"/>
      <c r="G259" s="9"/>
    </row>
    <row r="260">
      <c r="A260" s="8"/>
      <c r="B260" s="9"/>
      <c r="C260" s="9"/>
      <c r="D260" s="9"/>
      <c r="E260" s="9"/>
      <c r="F260" s="9"/>
      <c r="G260" s="9"/>
    </row>
    <row r="261">
      <c r="A261" s="8"/>
      <c r="B261" s="9"/>
      <c r="C261" s="9"/>
      <c r="D261" s="9"/>
      <c r="E261" s="9"/>
      <c r="F261" s="9"/>
      <c r="G261" s="9"/>
    </row>
    <row r="262">
      <c r="A262" s="8"/>
      <c r="B262" s="9"/>
      <c r="C262" s="9"/>
      <c r="D262" s="9"/>
      <c r="E262" s="9"/>
      <c r="F262" s="9"/>
      <c r="G262" s="9"/>
    </row>
    <row r="263">
      <c r="A263" s="8"/>
      <c r="B263" s="9"/>
      <c r="C263" s="9"/>
      <c r="D263" s="9"/>
      <c r="E263" s="9"/>
      <c r="F263" s="9"/>
      <c r="G263" s="9"/>
    </row>
    <row r="264">
      <c r="A264" s="8"/>
      <c r="B264" s="9"/>
      <c r="C264" s="9"/>
      <c r="D264" s="9"/>
      <c r="E264" s="9"/>
      <c r="F264" s="9"/>
      <c r="G264" s="9"/>
    </row>
    <row r="265">
      <c r="A265" s="8"/>
      <c r="B265" s="9"/>
      <c r="C265" s="9"/>
      <c r="D265" s="9"/>
      <c r="E265" s="9"/>
      <c r="F265" s="9"/>
      <c r="G265" s="9"/>
    </row>
    <row r="266">
      <c r="A266" s="8"/>
      <c r="B266" s="9"/>
      <c r="C266" s="9"/>
      <c r="D266" s="9"/>
      <c r="E266" s="9"/>
      <c r="F266" s="9"/>
      <c r="G266" s="9"/>
    </row>
    <row r="267">
      <c r="A267" s="8"/>
      <c r="B267" s="9"/>
      <c r="C267" s="9"/>
      <c r="D267" s="9"/>
      <c r="E267" s="9"/>
      <c r="F267" s="9"/>
      <c r="G267" s="9"/>
    </row>
    <row r="268">
      <c r="A268" s="8"/>
      <c r="B268" s="9"/>
      <c r="C268" s="9"/>
      <c r="D268" s="9"/>
      <c r="E268" s="9"/>
      <c r="F268" s="9"/>
      <c r="G268" s="9"/>
    </row>
    <row r="269">
      <c r="A269" s="8"/>
      <c r="B269" s="9"/>
      <c r="C269" s="9"/>
      <c r="D269" s="9"/>
      <c r="E269" s="9"/>
      <c r="F269" s="9"/>
      <c r="G269" s="9"/>
    </row>
    <row r="270">
      <c r="A270" s="8"/>
      <c r="B270" s="9"/>
      <c r="C270" s="9"/>
      <c r="D270" s="9"/>
      <c r="E270" s="9"/>
      <c r="F270" s="9"/>
      <c r="G270" s="9"/>
    </row>
    <row r="271">
      <c r="A271" s="8"/>
      <c r="B271" s="9"/>
      <c r="C271" s="9"/>
      <c r="D271" s="9"/>
      <c r="E271" s="9"/>
      <c r="F271" s="9"/>
      <c r="G271" s="9"/>
    </row>
    <row r="272">
      <c r="A272" s="8"/>
      <c r="B272" s="9"/>
      <c r="C272" s="9"/>
      <c r="D272" s="9"/>
      <c r="E272" s="9"/>
      <c r="F272" s="9"/>
      <c r="G272" s="9"/>
    </row>
    <row r="273">
      <c r="A273" s="8"/>
      <c r="B273" s="9"/>
      <c r="C273" s="9"/>
      <c r="D273" s="9"/>
      <c r="E273" s="9"/>
      <c r="F273" s="9"/>
      <c r="G273" s="9"/>
    </row>
    <row r="274">
      <c r="A274" s="8"/>
      <c r="B274" s="9"/>
      <c r="C274" s="9"/>
      <c r="D274" s="9"/>
      <c r="E274" s="9"/>
      <c r="F274" s="9"/>
      <c r="G274" s="9"/>
    </row>
    <row r="275">
      <c r="A275" s="8"/>
      <c r="B275" s="9"/>
      <c r="C275" s="9"/>
      <c r="D275" s="9"/>
      <c r="E275" s="9"/>
      <c r="F275" s="9"/>
      <c r="G275" s="9"/>
    </row>
    <row r="276">
      <c r="A276" s="8"/>
      <c r="B276" s="9"/>
      <c r="C276" s="9"/>
      <c r="D276" s="9"/>
      <c r="E276" s="9"/>
      <c r="F276" s="9"/>
      <c r="G276" s="9"/>
    </row>
    <row r="277">
      <c r="A277" s="8"/>
      <c r="B277" s="9"/>
      <c r="C277" s="9"/>
      <c r="D277" s="9"/>
      <c r="E277" s="9"/>
      <c r="F277" s="9"/>
      <c r="G277" s="9"/>
    </row>
    <row r="278">
      <c r="A278" s="8"/>
      <c r="B278" s="9"/>
      <c r="C278" s="9"/>
      <c r="D278" s="9"/>
      <c r="E278" s="9"/>
      <c r="F278" s="9"/>
      <c r="G278" s="9"/>
    </row>
    <row r="279">
      <c r="A279" s="8"/>
      <c r="B279" s="9"/>
      <c r="C279" s="9"/>
      <c r="D279" s="9"/>
      <c r="E279" s="9"/>
      <c r="F279" s="9"/>
      <c r="G279" s="9"/>
    </row>
    <row r="280">
      <c r="A280" s="8"/>
      <c r="B280" s="9"/>
      <c r="C280" s="9"/>
      <c r="D280" s="9"/>
      <c r="E280" s="9"/>
      <c r="F280" s="9"/>
      <c r="G280" s="9"/>
    </row>
    <row r="281">
      <c r="A281" s="8"/>
      <c r="B281" s="9"/>
      <c r="C281" s="9"/>
      <c r="D281" s="9"/>
      <c r="E281" s="9"/>
      <c r="F281" s="9"/>
      <c r="G281" s="9"/>
    </row>
    <row r="282">
      <c r="A282" s="8"/>
      <c r="B282" s="9"/>
      <c r="C282" s="9"/>
      <c r="D282" s="9"/>
      <c r="E282" s="9"/>
      <c r="F282" s="9"/>
      <c r="G282" s="9"/>
    </row>
    <row r="283">
      <c r="A283" s="8"/>
      <c r="B283" s="9"/>
      <c r="C283" s="9"/>
      <c r="D283" s="9"/>
      <c r="E283" s="9"/>
      <c r="F283" s="9"/>
      <c r="G283" s="9"/>
    </row>
    <row r="284">
      <c r="A284" s="8"/>
      <c r="B284" s="9"/>
      <c r="C284" s="9"/>
      <c r="D284" s="9"/>
      <c r="E284" s="9"/>
      <c r="F284" s="9"/>
      <c r="G284" s="9"/>
    </row>
    <row r="285">
      <c r="A285" s="8"/>
      <c r="B285" s="9"/>
      <c r="C285" s="9"/>
      <c r="D285" s="9"/>
      <c r="E285" s="9"/>
      <c r="F285" s="9"/>
      <c r="G285" s="9"/>
    </row>
    <row r="286">
      <c r="A286" s="8"/>
      <c r="B286" s="9"/>
      <c r="C286" s="9"/>
      <c r="D286" s="9"/>
      <c r="E286" s="9"/>
      <c r="F286" s="9"/>
      <c r="G286" s="9"/>
    </row>
    <row r="287">
      <c r="A287" s="8"/>
      <c r="B287" s="9"/>
      <c r="C287" s="9"/>
      <c r="D287" s="9"/>
      <c r="E287" s="9"/>
      <c r="F287" s="9"/>
      <c r="G287" s="9"/>
    </row>
    <row r="288">
      <c r="A288" s="8"/>
      <c r="B288" s="9"/>
      <c r="C288" s="9"/>
      <c r="D288" s="9"/>
      <c r="E288" s="9"/>
      <c r="F288" s="9"/>
      <c r="G288" s="9"/>
    </row>
    <row r="289">
      <c r="A289" s="8"/>
      <c r="B289" s="9"/>
      <c r="C289" s="9"/>
      <c r="D289" s="9"/>
      <c r="E289" s="9"/>
      <c r="F289" s="9"/>
      <c r="G289" s="9"/>
    </row>
    <row r="290">
      <c r="A290" s="8"/>
      <c r="B290" s="9"/>
      <c r="C290" s="9"/>
      <c r="D290" s="9"/>
      <c r="E290" s="9"/>
      <c r="F290" s="9"/>
      <c r="G290" s="9"/>
    </row>
    <row r="291">
      <c r="A291" s="8"/>
      <c r="B291" s="9"/>
      <c r="C291" s="9"/>
      <c r="D291" s="9"/>
      <c r="E291" s="9"/>
      <c r="F291" s="9"/>
      <c r="G291" s="9"/>
    </row>
    <row r="292">
      <c r="A292" s="8"/>
      <c r="B292" s="9"/>
      <c r="C292" s="9"/>
      <c r="D292" s="9"/>
      <c r="E292" s="9"/>
      <c r="F292" s="9"/>
      <c r="G292" s="9"/>
    </row>
    <row r="293">
      <c r="A293" s="8"/>
      <c r="B293" s="9"/>
      <c r="C293" s="9"/>
      <c r="D293" s="9"/>
      <c r="E293" s="9"/>
      <c r="F293" s="9"/>
      <c r="G293" s="9"/>
    </row>
    <row r="294">
      <c r="A294" s="8"/>
      <c r="B294" s="9"/>
      <c r="C294" s="9"/>
      <c r="D294" s="9"/>
      <c r="E294" s="9"/>
      <c r="F294" s="9"/>
      <c r="G294" s="9"/>
    </row>
    <row r="295">
      <c r="A295" s="8"/>
      <c r="B295" s="9"/>
      <c r="C295" s="9"/>
      <c r="D295" s="9"/>
      <c r="E295" s="9"/>
      <c r="F295" s="9"/>
      <c r="G295" s="9"/>
    </row>
    <row r="296">
      <c r="A296" s="8"/>
      <c r="B296" s="9"/>
      <c r="C296" s="9"/>
      <c r="D296" s="9"/>
      <c r="E296" s="9"/>
      <c r="F296" s="9"/>
      <c r="G296" s="9"/>
    </row>
    <row r="297">
      <c r="A297" s="8"/>
      <c r="B297" s="9"/>
      <c r="C297" s="9"/>
      <c r="D297" s="9"/>
      <c r="E297" s="9"/>
      <c r="F297" s="9"/>
      <c r="G297" s="9"/>
    </row>
    <row r="298">
      <c r="A298" s="8"/>
      <c r="B298" s="9"/>
      <c r="C298" s="9"/>
      <c r="D298" s="9"/>
      <c r="E298" s="9"/>
      <c r="F298" s="9"/>
      <c r="G298" s="9"/>
    </row>
    <row r="299">
      <c r="A299" s="8"/>
      <c r="B299" s="9"/>
      <c r="C299" s="9"/>
      <c r="D299" s="9"/>
      <c r="E299" s="9"/>
      <c r="F299" s="9"/>
      <c r="G299" s="9"/>
    </row>
    <row r="300">
      <c r="A300" s="8"/>
      <c r="B300" s="9"/>
      <c r="C300" s="9"/>
      <c r="D300" s="9"/>
      <c r="E300" s="9"/>
      <c r="F300" s="9"/>
      <c r="G300" s="9"/>
    </row>
    <row r="301">
      <c r="A301" s="8"/>
      <c r="B301" s="9"/>
      <c r="C301" s="9"/>
      <c r="D301" s="9"/>
      <c r="E301" s="9"/>
      <c r="F301" s="9"/>
      <c r="G301" s="9"/>
    </row>
    <row r="302">
      <c r="A302" s="8"/>
      <c r="B302" s="9"/>
      <c r="C302" s="9"/>
      <c r="D302" s="9"/>
      <c r="E302" s="9"/>
      <c r="F302" s="9"/>
      <c r="G302" s="9"/>
    </row>
    <row r="303">
      <c r="A303" s="8"/>
      <c r="B303" s="9"/>
      <c r="C303" s="9"/>
      <c r="D303" s="9"/>
      <c r="E303" s="9"/>
      <c r="F303" s="9"/>
      <c r="G303" s="9"/>
    </row>
    <row r="304">
      <c r="A304" s="8"/>
      <c r="B304" s="9"/>
      <c r="C304" s="9"/>
      <c r="D304" s="9"/>
      <c r="E304" s="9"/>
      <c r="F304" s="9"/>
      <c r="G304" s="9"/>
    </row>
    <row r="305">
      <c r="A305" s="8"/>
      <c r="B305" s="9"/>
      <c r="C305" s="9"/>
      <c r="D305" s="9"/>
      <c r="E305" s="9"/>
      <c r="F305" s="9"/>
      <c r="G305" s="9"/>
    </row>
    <row r="306">
      <c r="A306" s="8"/>
      <c r="B306" s="9"/>
      <c r="C306" s="9"/>
      <c r="D306" s="9"/>
      <c r="E306" s="9"/>
      <c r="F306" s="9"/>
      <c r="G306" s="9"/>
    </row>
    <row r="307">
      <c r="A307" s="8"/>
      <c r="B307" s="9"/>
      <c r="C307" s="9"/>
      <c r="D307" s="9"/>
      <c r="E307" s="9"/>
      <c r="F307" s="9"/>
      <c r="G307" s="9"/>
    </row>
    <row r="308">
      <c r="A308" s="8"/>
      <c r="B308" s="9"/>
      <c r="C308" s="9"/>
      <c r="D308" s="9"/>
      <c r="E308" s="9"/>
      <c r="F308" s="9"/>
      <c r="G308" s="9"/>
    </row>
    <row r="309">
      <c r="A309" s="8"/>
      <c r="B309" s="9"/>
      <c r="C309" s="9"/>
      <c r="D309" s="9"/>
      <c r="E309" s="9"/>
      <c r="F309" s="9"/>
      <c r="G309" s="9"/>
    </row>
    <row r="310">
      <c r="A310" s="8"/>
      <c r="B310" s="9"/>
      <c r="C310" s="9"/>
      <c r="D310" s="9"/>
      <c r="E310" s="9"/>
      <c r="F310" s="9"/>
      <c r="G310" s="9"/>
    </row>
    <row r="311">
      <c r="A311" s="8"/>
      <c r="B311" s="9"/>
      <c r="C311" s="9"/>
      <c r="D311" s="9"/>
      <c r="E311" s="9"/>
      <c r="F311" s="9"/>
      <c r="G311" s="9"/>
    </row>
    <row r="312">
      <c r="A312" s="8"/>
      <c r="B312" s="9"/>
      <c r="C312" s="9"/>
      <c r="D312" s="9"/>
      <c r="E312" s="9"/>
      <c r="F312" s="9"/>
      <c r="G312" s="9"/>
    </row>
    <row r="313">
      <c r="A313" s="8"/>
      <c r="B313" s="9"/>
      <c r="C313" s="9"/>
      <c r="D313" s="9"/>
      <c r="E313" s="9"/>
      <c r="F313" s="9"/>
      <c r="G313" s="9"/>
    </row>
    <row r="314">
      <c r="A314" s="8"/>
      <c r="B314" s="9"/>
      <c r="C314" s="9"/>
      <c r="D314" s="9"/>
      <c r="E314" s="9"/>
      <c r="F314" s="9"/>
      <c r="G314" s="9"/>
    </row>
    <row r="315">
      <c r="A315" s="8"/>
      <c r="B315" s="9"/>
      <c r="C315" s="9"/>
      <c r="D315" s="9"/>
      <c r="E315" s="9"/>
      <c r="F315" s="9"/>
      <c r="G315" s="9"/>
    </row>
    <row r="316">
      <c r="A316" s="8"/>
      <c r="B316" s="9"/>
      <c r="C316" s="9"/>
      <c r="D316" s="9"/>
      <c r="E316" s="9"/>
      <c r="F316" s="9"/>
      <c r="G316" s="9"/>
    </row>
    <row r="317">
      <c r="A317" s="8"/>
      <c r="B317" s="9"/>
      <c r="C317" s="9"/>
      <c r="D317" s="9"/>
      <c r="E317" s="9"/>
      <c r="F317" s="9"/>
      <c r="G317" s="9"/>
    </row>
    <row r="318">
      <c r="A318" s="8"/>
      <c r="B318" s="9"/>
      <c r="C318" s="9"/>
      <c r="D318" s="9"/>
      <c r="E318" s="9"/>
      <c r="F318" s="9"/>
      <c r="G318" s="9"/>
    </row>
    <row r="319">
      <c r="A319" s="8"/>
      <c r="B319" s="9"/>
      <c r="C319" s="9"/>
      <c r="D319" s="9"/>
      <c r="E319" s="9"/>
      <c r="F319" s="9"/>
      <c r="G319" s="9"/>
    </row>
    <row r="320">
      <c r="A320" s="8"/>
      <c r="B320" s="9"/>
      <c r="C320" s="9"/>
      <c r="D320" s="9"/>
      <c r="E320" s="9"/>
      <c r="F320" s="9"/>
      <c r="G320" s="9"/>
    </row>
    <row r="321">
      <c r="A321" s="8"/>
      <c r="B321" s="9"/>
      <c r="C321" s="9"/>
      <c r="D321" s="9"/>
      <c r="E321" s="9"/>
      <c r="F321" s="9"/>
      <c r="G321" s="9"/>
    </row>
    <row r="322">
      <c r="A322" s="8"/>
      <c r="B322" s="9"/>
      <c r="C322" s="9"/>
      <c r="D322" s="9"/>
      <c r="E322" s="9"/>
      <c r="F322" s="9"/>
      <c r="G322" s="9"/>
    </row>
    <row r="323">
      <c r="A323" s="8"/>
      <c r="B323" s="9"/>
      <c r="C323" s="9"/>
      <c r="D323" s="9"/>
      <c r="E323" s="9"/>
      <c r="F323" s="9"/>
      <c r="G323" s="9"/>
    </row>
    <row r="324">
      <c r="A324" s="8"/>
      <c r="B324" s="9"/>
      <c r="C324" s="9"/>
      <c r="D324" s="9"/>
      <c r="E324" s="9"/>
      <c r="F324" s="9"/>
      <c r="G324" s="9"/>
    </row>
    <row r="325">
      <c r="A325" s="8"/>
      <c r="B325" s="9"/>
      <c r="C325" s="9"/>
      <c r="D325" s="9"/>
      <c r="E325" s="9"/>
      <c r="F325" s="9"/>
      <c r="G325" s="9"/>
    </row>
    <row r="326">
      <c r="A326" s="8"/>
      <c r="B326" s="9"/>
      <c r="C326" s="9"/>
      <c r="D326" s="9"/>
      <c r="E326" s="9"/>
      <c r="F326" s="9"/>
      <c r="G326" s="9"/>
    </row>
    <row r="327">
      <c r="A327" s="8"/>
      <c r="B327" s="9"/>
      <c r="C327" s="9"/>
      <c r="D327" s="9"/>
      <c r="E327" s="9"/>
      <c r="F327" s="9"/>
      <c r="G327" s="9"/>
    </row>
    <row r="328">
      <c r="A328" s="8"/>
      <c r="B328" s="9"/>
      <c r="C328" s="9"/>
      <c r="D328" s="9"/>
      <c r="E328" s="9"/>
      <c r="F328" s="9"/>
      <c r="G328" s="9"/>
    </row>
    <row r="329">
      <c r="A329" s="8"/>
      <c r="B329" s="9"/>
      <c r="C329" s="9"/>
      <c r="D329" s="9"/>
      <c r="E329" s="9"/>
      <c r="F329" s="9"/>
      <c r="G329" s="9"/>
    </row>
    <row r="330">
      <c r="A330" s="8"/>
      <c r="B330" s="9"/>
      <c r="C330" s="9"/>
      <c r="D330" s="9"/>
      <c r="E330" s="9"/>
      <c r="F330" s="9"/>
      <c r="G330" s="9"/>
    </row>
    <row r="331">
      <c r="A331" s="8"/>
      <c r="B331" s="9"/>
      <c r="C331" s="9"/>
      <c r="D331" s="9"/>
      <c r="E331" s="9"/>
      <c r="F331" s="9"/>
      <c r="G331" s="9"/>
    </row>
    <row r="332">
      <c r="A332" s="8"/>
      <c r="B332" s="9"/>
      <c r="C332" s="9"/>
      <c r="D332" s="9"/>
      <c r="E332" s="9"/>
      <c r="F332" s="9"/>
      <c r="G332" s="9"/>
    </row>
    <row r="333">
      <c r="A333" s="8"/>
      <c r="B333" s="9"/>
      <c r="C333" s="9"/>
      <c r="D333" s="9"/>
      <c r="E333" s="9"/>
      <c r="F333" s="9"/>
      <c r="G333" s="9"/>
    </row>
    <row r="334">
      <c r="A334" s="8"/>
      <c r="B334" s="9"/>
      <c r="C334" s="9"/>
      <c r="D334" s="9"/>
      <c r="E334" s="9"/>
      <c r="F334" s="9"/>
      <c r="G334" s="9"/>
    </row>
    <row r="335">
      <c r="A335" s="8"/>
      <c r="B335" s="9"/>
      <c r="C335" s="9"/>
      <c r="D335" s="9"/>
      <c r="E335" s="9"/>
      <c r="F335" s="9"/>
      <c r="G335" s="9"/>
    </row>
    <row r="336">
      <c r="A336" s="8"/>
      <c r="B336" s="9"/>
      <c r="C336" s="9"/>
      <c r="D336" s="9"/>
      <c r="E336" s="9"/>
      <c r="F336" s="9"/>
      <c r="G336" s="9"/>
    </row>
    <row r="337">
      <c r="A337" s="8"/>
      <c r="B337" s="9"/>
      <c r="C337" s="9"/>
      <c r="D337" s="9"/>
      <c r="E337" s="9"/>
      <c r="F337" s="9"/>
      <c r="G337" s="9"/>
    </row>
    <row r="338">
      <c r="A338" s="8"/>
      <c r="B338" s="9"/>
      <c r="C338" s="9"/>
      <c r="D338" s="9"/>
      <c r="E338" s="9"/>
      <c r="F338" s="9"/>
      <c r="G338" s="9"/>
    </row>
    <row r="339">
      <c r="A339" s="8"/>
      <c r="B339" s="9"/>
      <c r="C339" s="9"/>
      <c r="D339" s="9"/>
      <c r="E339" s="9"/>
      <c r="F339" s="9"/>
      <c r="G339" s="9"/>
    </row>
    <row r="340">
      <c r="A340" s="8"/>
      <c r="B340" s="9"/>
      <c r="C340" s="9"/>
      <c r="D340" s="9"/>
      <c r="E340" s="9"/>
      <c r="F340" s="9"/>
      <c r="G340" s="9"/>
    </row>
    <row r="341">
      <c r="A341" s="8"/>
      <c r="B341" s="9"/>
      <c r="C341" s="9"/>
      <c r="D341" s="9"/>
      <c r="E341" s="9"/>
      <c r="F341" s="9"/>
      <c r="G341" s="9"/>
    </row>
    <row r="342">
      <c r="A342" s="8"/>
      <c r="B342" s="9"/>
      <c r="C342" s="9"/>
      <c r="D342" s="9"/>
      <c r="E342" s="9"/>
      <c r="F342" s="9"/>
      <c r="G342" s="9"/>
    </row>
    <row r="343">
      <c r="A343" s="8"/>
      <c r="B343" s="9"/>
      <c r="C343" s="9"/>
      <c r="D343" s="9"/>
      <c r="E343" s="9"/>
      <c r="F343" s="9"/>
      <c r="G343" s="9"/>
    </row>
    <row r="344">
      <c r="A344" s="8"/>
      <c r="B344" s="9"/>
      <c r="C344" s="9"/>
      <c r="D344" s="9"/>
      <c r="E344" s="9"/>
      <c r="F344" s="9"/>
      <c r="G344" s="9"/>
    </row>
    <row r="345">
      <c r="A345" s="8"/>
      <c r="B345" s="9"/>
      <c r="C345" s="9"/>
      <c r="D345" s="9"/>
      <c r="E345" s="9"/>
      <c r="F345" s="9"/>
      <c r="G345" s="9"/>
    </row>
    <row r="346">
      <c r="A346" s="8"/>
      <c r="B346" s="9"/>
      <c r="C346" s="9"/>
      <c r="D346" s="9"/>
      <c r="E346" s="9"/>
      <c r="F346" s="9"/>
      <c r="G346" s="9"/>
    </row>
    <row r="347">
      <c r="A347" s="8"/>
      <c r="B347" s="9"/>
      <c r="C347" s="9"/>
      <c r="D347" s="9"/>
      <c r="E347" s="9"/>
      <c r="F347" s="9"/>
      <c r="G347" s="9"/>
    </row>
    <row r="348">
      <c r="A348" s="8"/>
      <c r="B348" s="9"/>
      <c r="C348" s="9"/>
      <c r="D348" s="9"/>
      <c r="E348" s="9"/>
      <c r="F348" s="9"/>
      <c r="G348" s="9"/>
    </row>
    <row r="349">
      <c r="A349" s="8"/>
      <c r="B349" s="9"/>
      <c r="C349" s="9"/>
      <c r="D349" s="9"/>
      <c r="E349" s="9"/>
      <c r="F349" s="9"/>
      <c r="G349" s="9"/>
    </row>
    <row r="350">
      <c r="A350" s="8"/>
      <c r="B350" s="9"/>
      <c r="C350" s="9"/>
      <c r="D350" s="9"/>
      <c r="E350" s="9"/>
      <c r="F350" s="9"/>
      <c r="G350" s="9"/>
    </row>
    <row r="351">
      <c r="A351" s="8"/>
      <c r="B351" s="9"/>
      <c r="C351" s="9"/>
      <c r="D351" s="9"/>
      <c r="E351" s="9"/>
      <c r="F351" s="9"/>
      <c r="G351" s="9"/>
    </row>
    <row r="352">
      <c r="A352" s="8"/>
      <c r="B352" s="9"/>
      <c r="C352" s="9"/>
      <c r="D352" s="9"/>
      <c r="E352" s="9"/>
      <c r="F352" s="9"/>
      <c r="G352" s="9"/>
    </row>
    <row r="353">
      <c r="A353" s="8"/>
      <c r="B353" s="9"/>
      <c r="C353" s="9"/>
      <c r="D353" s="9"/>
      <c r="E353" s="9"/>
      <c r="F353" s="9"/>
      <c r="G353" s="9"/>
    </row>
    <row r="354">
      <c r="A354" s="8"/>
      <c r="B354" s="9"/>
      <c r="C354" s="9"/>
      <c r="D354" s="9"/>
      <c r="E354" s="9"/>
      <c r="F354" s="9"/>
      <c r="G354" s="9"/>
    </row>
    <row r="355">
      <c r="A355" s="8"/>
      <c r="B355" s="9"/>
      <c r="C355" s="9"/>
      <c r="D355" s="9"/>
      <c r="E355" s="9"/>
      <c r="F355" s="9"/>
      <c r="G355" s="9"/>
    </row>
    <row r="356">
      <c r="A356" s="8"/>
      <c r="B356" s="9"/>
      <c r="C356" s="9"/>
      <c r="D356" s="9"/>
      <c r="E356" s="9"/>
      <c r="F356" s="9"/>
      <c r="G356" s="9"/>
    </row>
    <row r="357">
      <c r="A357" s="8"/>
      <c r="B357" s="9"/>
      <c r="C357" s="9"/>
      <c r="D357" s="9"/>
      <c r="E357" s="9"/>
      <c r="F357" s="9"/>
      <c r="G357" s="9"/>
    </row>
    <row r="358">
      <c r="A358" s="8"/>
      <c r="B358" s="9"/>
      <c r="C358" s="9"/>
      <c r="D358" s="9"/>
      <c r="E358" s="9"/>
      <c r="F358" s="9"/>
      <c r="G358" s="9"/>
    </row>
    <row r="359">
      <c r="A359" s="8"/>
      <c r="B359" s="9"/>
      <c r="C359" s="9"/>
      <c r="D359" s="9"/>
      <c r="E359" s="9"/>
      <c r="F359" s="9"/>
      <c r="G359" s="9"/>
    </row>
    <row r="360">
      <c r="A360" s="8"/>
      <c r="B360" s="9"/>
      <c r="C360" s="9"/>
      <c r="D360" s="9"/>
      <c r="E360" s="9"/>
      <c r="F360" s="9"/>
      <c r="G360" s="9"/>
    </row>
    <row r="361">
      <c r="A361" s="8"/>
      <c r="B361" s="9"/>
      <c r="C361" s="9"/>
      <c r="D361" s="9"/>
      <c r="E361" s="9"/>
      <c r="F361" s="9"/>
      <c r="G361" s="9"/>
    </row>
    <row r="362">
      <c r="A362" s="8"/>
      <c r="B362" s="9"/>
      <c r="C362" s="9"/>
      <c r="D362" s="9"/>
      <c r="E362" s="9"/>
      <c r="F362" s="9"/>
      <c r="G362" s="9"/>
    </row>
    <row r="363">
      <c r="A363" s="8"/>
      <c r="B363" s="9"/>
      <c r="C363" s="9"/>
      <c r="D363" s="9"/>
      <c r="E363" s="9"/>
      <c r="F363" s="9"/>
      <c r="G363" s="9"/>
    </row>
    <row r="364">
      <c r="A364" s="8"/>
      <c r="B364" s="9"/>
      <c r="C364" s="9"/>
      <c r="D364" s="9"/>
      <c r="E364" s="9"/>
      <c r="F364" s="9"/>
      <c r="G364" s="9"/>
    </row>
    <row r="365">
      <c r="A365" s="8"/>
      <c r="B365" s="9"/>
      <c r="C365" s="9"/>
      <c r="D365" s="9"/>
      <c r="E365" s="9"/>
      <c r="F365" s="9"/>
      <c r="G365" s="9"/>
    </row>
    <row r="366">
      <c r="A366" s="8"/>
      <c r="B366" s="9"/>
      <c r="C366" s="9"/>
      <c r="D366" s="9"/>
      <c r="E366" s="9"/>
      <c r="F366" s="9"/>
      <c r="G366" s="9"/>
    </row>
    <row r="367">
      <c r="A367" s="8"/>
      <c r="B367" s="9"/>
      <c r="C367" s="9"/>
      <c r="D367" s="9"/>
      <c r="E367" s="9"/>
      <c r="F367" s="9"/>
      <c r="G367" s="9"/>
    </row>
    <row r="368">
      <c r="A368" s="8"/>
      <c r="B368" s="9"/>
      <c r="C368" s="9"/>
      <c r="D368" s="9"/>
      <c r="E368" s="9"/>
      <c r="F368" s="9"/>
      <c r="G368" s="9"/>
    </row>
    <row r="369">
      <c r="A369" s="8"/>
      <c r="B369" s="9"/>
      <c r="C369" s="9"/>
      <c r="D369" s="9"/>
      <c r="E369" s="9"/>
      <c r="F369" s="9"/>
      <c r="G369" s="9"/>
    </row>
    <row r="370">
      <c r="A370" s="8"/>
      <c r="B370" s="9"/>
      <c r="C370" s="9"/>
      <c r="D370" s="9"/>
      <c r="E370" s="9"/>
      <c r="F370" s="9"/>
      <c r="G370" s="9"/>
    </row>
    <row r="371">
      <c r="A371" s="8"/>
      <c r="B371" s="9"/>
      <c r="C371" s="9"/>
      <c r="D371" s="9"/>
      <c r="E371" s="9"/>
      <c r="F371" s="9"/>
      <c r="G371" s="9"/>
    </row>
    <row r="372">
      <c r="A372" s="8"/>
      <c r="B372" s="9"/>
      <c r="C372" s="9"/>
      <c r="D372" s="9"/>
      <c r="E372" s="9"/>
      <c r="F372" s="9"/>
      <c r="G372" s="9"/>
    </row>
    <row r="373">
      <c r="A373" s="8"/>
      <c r="B373" s="9"/>
      <c r="C373" s="9"/>
      <c r="D373" s="9"/>
      <c r="E373" s="9"/>
      <c r="F373" s="9"/>
      <c r="G373" s="9"/>
    </row>
    <row r="374">
      <c r="A374" s="8"/>
      <c r="B374" s="9"/>
      <c r="C374" s="9"/>
      <c r="D374" s="9"/>
      <c r="E374" s="9"/>
      <c r="F374" s="9"/>
      <c r="G374" s="9"/>
    </row>
    <row r="375">
      <c r="A375" s="8"/>
      <c r="B375" s="9"/>
      <c r="C375" s="9"/>
      <c r="D375" s="9"/>
      <c r="E375" s="9"/>
      <c r="F375" s="9"/>
      <c r="G375" s="9"/>
    </row>
    <row r="376">
      <c r="A376" s="8"/>
      <c r="B376" s="9"/>
      <c r="C376" s="9"/>
      <c r="D376" s="9"/>
      <c r="E376" s="9"/>
      <c r="F376" s="9"/>
      <c r="G376" s="9"/>
    </row>
    <row r="377">
      <c r="A377" s="8"/>
      <c r="B377" s="9"/>
      <c r="C377" s="9"/>
      <c r="D377" s="9"/>
      <c r="E377" s="9"/>
      <c r="F377" s="9"/>
      <c r="G377" s="9"/>
    </row>
    <row r="378">
      <c r="A378" s="8"/>
      <c r="B378" s="9"/>
      <c r="C378" s="9"/>
      <c r="D378" s="9"/>
      <c r="E378" s="9"/>
      <c r="F378" s="9"/>
      <c r="G378" s="9"/>
    </row>
    <row r="379">
      <c r="A379" s="8"/>
      <c r="B379" s="9"/>
      <c r="C379" s="9"/>
      <c r="D379" s="9"/>
      <c r="E379" s="9"/>
      <c r="F379" s="9"/>
      <c r="G379" s="9"/>
    </row>
    <row r="380">
      <c r="A380" s="8"/>
      <c r="B380" s="9"/>
      <c r="C380" s="9"/>
      <c r="D380" s="9"/>
      <c r="E380" s="9"/>
      <c r="F380" s="9"/>
      <c r="G380" s="9"/>
    </row>
    <row r="381">
      <c r="A381" s="8"/>
      <c r="B381" s="9"/>
      <c r="C381" s="9"/>
      <c r="D381" s="9"/>
      <c r="E381" s="9"/>
      <c r="F381" s="9"/>
      <c r="G381" s="9"/>
    </row>
    <row r="382">
      <c r="A382" s="8"/>
      <c r="B382" s="9"/>
      <c r="C382" s="9"/>
      <c r="D382" s="9"/>
      <c r="E382" s="9"/>
      <c r="F382" s="9"/>
      <c r="G382" s="9"/>
    </row>
    <row r="383">
      <c r="A383" s="8"/>
      <c r="B383" s="9"/>
      <c r="C383" s="9"/>
      <c r="D383" s="9"/>
      <c r="E383" s="9"/>
      <c r="F383" s="9"/>
      <c r="G383" s="9"/>
    </row>
    <row r="384">
      <c r="A384" s="8"/>
      <c r="B384" s="9"/>
      <c r="C384" s="9"/>
      <c r="D384" s="9"/>
      <c r="E384" s="9"/>
      <c r="F384" s="9"/>
      <c r="G384" s="9"/>
    </row>
    <row r="385">
      <c r="A385" s="8"/>
      <c r="B385" s="9"/>
      <c r="C385" s="9"/>
      <c r="D385" s="9"/>
      <c r="E385" s="9"/>
      <c r="F385" s="9"/>
      <c r="G385" s="9"/>
    </row>
    <row r="386">
      <c r="A386" s="8"/>
      <c r="B386" s="9"/>
      <c r="C386" s="9"/>
      <c r="D386" s="9"/>
      <c r="E386" s="9"/>
      <c r="F386" s="9"/>
      <c r="G386" s="9"/>
    </row>
    <row r="387">
      <c r="A387" s="8"/>
      <c r="B387" s="9"/>
      <c r="C387" s="9"/>
      <c r="D387" s="9"/>
      <c r="E387" s="9"/>
      <c r="F387" s="9"/>
      <c r="G387" s="9"/>
    </row>
    <row r="388">
      <c r="A388" s="8"/>
      <c r="B388" s="9"/>
      <c r="C388" s="9"/>
      <c r="D388" s="9"/>
      <c r="E388" s="9"/>
      <c r="F388" s="9"/>
      <c r="G388" s="9"/>
    </row>
    <row r="389">
      <c r="A389" s="8"/>
      <c r="B389" s="9"/>
      <c r="C389" s="9"/>
      <c r="D389" s="9"/>
      <c r="E389" s="9"/>
      <c r="F389" s="9"/>
      <c r="G389" s="9"/>
    </row>
    <row r="390">
      <c r="A390" s="8"/>
      <c r="B390" s="9"/>
      <c r="C390" s="9"/>
      <c r="D390" s="9"/>
      <c r="E390" s="9"/>
      <c r="F390" s="9"/>
      <c r="G390" s="9"/>
    </row>
    <row r="391">
      <c r="A391" s="8"/>
      <c r="B391" s="9"/>
      <c r="C391" s="9"/>
      <c r="D391" s="9"/>
      <c r="E391" s="9"/>
      <c r="F391" s="9"/>
      <c r="G391" s="9"/>
    </row>
    <row r="392">
      <c r="A392" s="8"/>
      <c r="B392" s="9"/>
      <c r="C392" s="9"/>
      <c r="D392" s="9"/>
      <c r="E392" s="9"/>
      <c r="F392" s="9"/>
      <c r="G392" s="9"/>
    </row>
    <row r="393">
      <c r="A393" s="8"/>
      <c r="B393" s="9"/>
      <c r="C393" s="9"/>
      <c r="D393" s="9"/>
      <c r="E393" s="9"/>
      <c r="F393" s="9"/>
      <c r="G393" s="9"/>
    </row>
    <row r="394">
      <c r="A394" s="8"/>
      <c r="B394" s="9"/>
      <c r="C394" s="9"/>
      <c r="D394" s="9"/>
      <c r="E394" s="9"/>
      <c r="F394" s="9"/>
      <c r="G394" s="9"/>
    </row>
    <row r="395">
      <c r="A395" s="8"/>
      <c r="B395" s="9"/>
      <c r="C395" s="9"/>
      <c r="D395" s="9"/>
      <c r="E395" s="9"/>
      <c r="F395" s="9"/>
      <c r="G395" s="9"/>
    </row>
    <row r="396">
      <c r="A396" s="8"/>
      <c r="B396" s="9"/>
      <c r="C396" s="9"/>
      <c r="D396" s="9"/>
      <c r="E396" s="9"/>
      <c r="F396" s="9"/>
      <c r="G396" s="9"/>
    </row>
    <row r="397">
      <c r="A397" s="8"/>
      <c r="B397" s="9"/>
      <c r="C397" s="9"/>
      <c r="D397" s="9"/>
      <c r="E397" s="9"/>
      <c r="F397" s="9"/>
      <c r="G397" s="9"/>
    </row>
    <row r="398">
      <c r="A398" s="8"/>
      <c r="B398" s="9"/>
      <c r="C398" s="9"/>
      <c r="D398" s="9"/>
      <c r="E398" s="9"/>
      <c r="F398" s="9"/>
      <c r="G398" s="9"/>
    </row>
    <row r="399">
      <c r="A399" s="8"/>
      <c r="B399" s="9"/>
      <c r="C399" s="9"/>
      <c r="D399" s="9"/>
      <c r="E399" s="9"/>
      <c r="F399" s="9"/>
      <c r="G399" s="9"/>
    </row>
    <row r="400">
      <c r="A400" s="8"/>
      <c r="B400" s="9"/>
      <c r="C400" s="9"/>
      <c r="D400" s="9"/>
      <c r="E400" s="9"/>
      <c r="F400" s="9"/>
      <c r="G400" s="9"/>
    </row>
    <row r="401">
      <c r="A401" s="8"/>
      <c r="B401" s="9"/>
      <c r="C401" s="9"/>
      <c r="D401" s="9"/>
      <c r="E401" s="9"/>
      <c r="F401" s="9"/>
      <c r="G401" s="9"/>
    </row>
    <row r="402">
      <c r="A402" s="8"/>
      <c r="B402" s="9"/>
      <c r="C402" s="9"/>
      <c r="D402" s="9"/>
      <c r="E402" s="9"/>
      <c r="F402" s="9"/>
      <c r="G402" s="9"/>
    </row>
    <row r="403">
      <c r="A403" s="8"/>
      <c r="B403" s="9"/>
      <c r="C403" s="9"/>
      <c r="D403" s="9"/>
      <c r="E403" s="9"/>
      <c r="F403" s="9"/>
      <c r="G403" s="9"/>
    </row>
    <row r="404">
      <c r="A404" s="8"/>
      <c r="B404" s="9"/>
      <c r="C404" s="9"/>
      <c r="D404" s="9"/>
      <c r="E404" s="9"/>
      <c r="F404" s="9"/>
      <c r="G404" s="9"/>
    </row>
    <row r="405">
      <c r="A405" s="8"/>
      <c r="B405" s="9"/>
      <c r="C405" s="9"/>
      <c r="D405" s="9"/>
      <c r="E405" s="9"/>
      <c r="F405" s="9"/>
      <c r="G405" s="9"/>
    </row>
    <row r="406">
      <c r="A406" s="8"/>
      <c r="B406" s="9"/>
      <c r="C406" s="9"/>
      <c r="D406" s="9"/>
      <c r="E406" s="9"/>
      <c r="F406" s="9"/>
      <c r="G406" s="9"/>
    </row>
    <row r="407">
      <c r="A407" s="8"/>
      <c r="B407" s="9"/>
      <c r="C407" s="9"/>
      <c r="D407" s="9"/>
      <c r="E407" s="9"/>
      <c r="F407" s="9"/>
      <c r="G407" s="9"/>
    </row>
    <row r="408">
      <c r="A408" s="8"/>
      <c r="B408" s="9"/>
      <c r="C408" s="9"/>
      <c r="D408" s="9"/>
      <c r="E408" s="9"/>
      <c r="F408" s="9"/>
      <c r="G408" s="9"/>
    </row>
    <row r="409">
      <c r="A409" s="8"/>
      <c r="B409" s="9"/>
      <c r="C409" s="9"/>
      <c r="D409" s="9"/>
      <c r="E409" s="9"/>
      <c r="F409" s="9"/>
      <c r="G409" s="9"/>
    </row>
    <row r="410">
      <c r="A410" s="8"/>
      <c r="B410" s="9"/>
      <c r="C410" s="9"/>
      <c r="D410" s="9"/>
      <c r="E410" s="9"/>
      <c r="F410" s="9"/>
      <c r="G410" s="9"/>
    </row>
    <row r="411">
      <c r="A411" s="8"/>
      <c r="B411" s="9"/>
      <c r="C411" s="9"/>
      <c r="D411" s="9"/>
      <c r="E411" s="9"/>
      <c r="F411" s="9"/>
      <c r="G411" s="9"/>
    </row>
    <row r="412">
      <c r="A412" s="8"/>
      <c r="B412" s="9"/>
      <c r="C412" s="9"/>
      <c r="D412" s="9"/>
      <c r="E412" s="9"/>
      <c r="F412" s="9"/>
      <c r="G412" s="9"/>
    </row>
    <row r="413">
      <c r="A413" s="8"/>
      <c r="B413" s="9"/>
      <c r="C413" s="9"/>
      <c r="D413" s="9"/>
      <c r="E413" s="9"/>
      <c r="F413" s="9"/>
      <c r="G413" s="9"/>
    </row>
    <row r="414">
      <c r="A414" s="8"/>
      <c r="B414" s="9"/>
      <c r="C414" s="9"/>
      <c r="D414" s="9"/>
      <c r="E414" s="9"/>
      <c r="F414" s="9"/>
      <c r="G414" s="9"/>
    </row>
    <row r="415">
      <c r="A415" s="8"/>
      <c r="B415" s="9"/>
      <c r="C415" s="9"/>
      <c r="D415" s="9"/>
      <c r="E415" s="9"/>
      <c r="F415" s="9"/>
      <c r="G415" s="9"/>
    </row>
    <row r="416">
      <c r="A416" s="8"/>
      <c r="B416" s="9"/>
      <c r="C416" s="9"/>
      <c r="D416" s="9"/>
      <c r="E416" s="9"/>
      <c r="F416" s="9"/>
      <c r="G416" s="9"/>
    </row>
    <row r="417">
      <c r="A417" s="8"/>
      <c r="B417" s="9"/>
      <c r="C417" s="9"/>
      <c r="D417" s="9"/>
      <c r="E417" s="9"/>
      <c r="F417" s="9"/>
      <c r="G417" s="9"/>
    </row>
    <row r="418">
      <c r="A418" s="8"/>
      <c r="B418" s="9"/>
      <c r="C418" s="9"/>
      <c r="D418" s="9"/>
      <c r="E418" s="9"/>
      <c r="F418" s="9"/>
      <c r="G418" s="9"/>
    </row>
    <row r="419">
      <c r="A419" s="8"/>
      <c r="B419" s="9"/>
      <c r="C419" s="9"/>
      <c r="D419" s="9"/>
      <c r="E419" s="9"/>
      <c r="F419" s="9"/>
      <c r="G419" s="9"/>
    </row>
    <row r="420">
      <c r="A420" s="8"/>
      <c r="B420" s="9"/>
      <c r="C420" s="9"/>
      <c r="D420" s="9"/>
      <c r="E420" s="9"/>
      <c r="F420" s="9"/>
      <c r="G420" s="9"/>
    </row>
    <row r="421">
      <c r="A421" s="8"/>
      <c r="B421" s="9"/>
      <c r="C421" s="9"/>
      <c r="D421" s="9"/>
      <c r="E421" s="9"/>
      <c r="F421" s="9"/>
      <c r="G421" s="9"/>
    </row>
    <row r="422">
      <c r="A422" s="8"/>
      <c r="B422" s="9"/>
      <c r="C422" s="9"/>
      <c r="D422" s="9"/>
      <c r="E422" s="9"/>
      <c r="F422" s="9"/>
      <c r="G422" s="9"/>
    </row>
    <row r="423">
      <c r="A423" s="8"/>
      <c r="B423" s="9"/>
      <c r="C423" s="9"/>
      <c r="D423" s="9"/>
      <c r="E423" s="9"/>
      <c r="F423" s="9"/>
      <c r="G423" s="9"/>
    </row>
    <row r="424">
      <c r="A424" s="8"/>
      <c r="B424" s="9"/>
      <c r="C424" s="9"/>
      <c r="D424" s="9"/>
      <c r="E424" s="9"/>
      <c r="F424" s="9"/>
      <c r="G424" s="9"/>
    </row>
    <row r="425">
      <c r="A425" s="8"/>
      <c r="B425" s="9"/>
      <c r="C425" s="9"/>
      <c r="D425" s="9"/>
      <c r="E425" s="9"/>
      <c r="F425" s="9"/>
      <c r="G425" s="9"/>
    </row>
    <row r="426">
      <c r="A426" s="8"/>
      <c r="B426" s="9"/>
      <c r="C426" s="9"/>
      <c r="D426" s="9"/>
      <c r="E426" s="9"/>
      <c r="F426" s="9"/>
      <c r="G426" s="9"/>
    </row>
    <row r="427">
      <c r="A427" s="8"/>
      <c r="B427" s="9"/>
      <c r="C427" s="9"/>
      <c r="D427" s="9"/>
      <c r="E427" s="9"/>
      <c r="F427" s="9"/>
      <c r="G427" s="9"/>
    </row>
    <row r="428">
      <c r="A428" s="8"/>
      <c r="B428" s="9"/>
      <c r="C428" s="9"/>
      <c r="D428" s="9"/>
      <c r="E428" s="9"/>
      <c r="F428" s="9"/>
      <c r="G428" s="9"/>
    </row>
    <row r="429">
      <c r="A429" s="8"/>
      <c r="B429" s="9"/>
      <c r="C429" s="9"/>
      <c r="D429" s="9"/>
      <c r="E429" s="9"/>
      <c r="F429" s="9"/>
      <c r="G429" s="9"/>
    </row>
    <row r="430">
      <c r="A430" s="8"/>
      <c r="B430" s="9"/>
      <c r="C430" s="9"/>
      <c r="D430" s="9"/>
      <c r="E430" s="9"/>
      <c r="F430" s="9"/>
      <c r="G430" s="9"/>
    </row>
    <row r="431">
      <c r="A431" s="8"/>
      <c r="B431" s="9"/>
      <c r="C431" s="9"/>
      <c r="D431" s="9"/>
      <c r="E431" s="9"/>
      <c r="F431" s="9"/>
      <c r="G431" s="9"/>
    </row>
    <row r="432">
      <c r="A432" s="8"/>
      <c r="B432" s="9"/>
      <c r="C432" s="9"/>
      <c r="D432" s="9"/>
      <c r="E432" s="9"/>
      <c r="F432" s="9"/>
      <c r="G432" s="9"/>
    </row>
    <row r="433">
      <c r="A433" s="8"/>
      <c r="B433" s="9"/>
      <c r="C433" s="9"/>
      <c r="D433" s="9"/>
      <c r="E433" s="9"/>
      <c r="F433" s="9"/>
      <c r="G433" s="9"/>
    </row>
    <row r="434">
      <c r="A434" s="8"/>
      <c r="B434" s="9"/>
      <c r="C434" s="9"/>
      <c r="D434" s="9"/>
      <c r="E434" s="9"/>
      <c r="F434" s="9"/>
      <c r="G434" s="9"/>
    </row>
    <row r="435">
      <c r="A435" s="8"/>
      <c r="B435" s="9"/>
      <c r="C435" s="9"/>
      <c r="D435" s="9"/>
      <c r="E435" s="9"/>
      <c r="F435" s="9"/>
      <c r="G435" s="9"/>
    </row>
    <row r="436">
      <c r="A436" s="8"/>
      <c r="B436" s="9"/>
      <c r="C436" s="9"/>
      <c r="D436" s="9"/>
      <c r="E436" s="9"/>
      <c r="F436" s="9"/>
      <c r="G436" s="9"/>
    </row>
    <row r="437">
      <c r="A437" s="8"/>
      <c r="B437" s="9"/>
      <c r="C437" s="9"/>
      <c r="D437" s="9"/>
      <c r="E437" s="9"/>
      <c r="F437" s="9"/>
      <c r="G437" s="9"/>
    </row>
    <row r="438">
      <c r="A438" s="8"/>
      <c r="B438" s="9"/>
      <c r="C438" s="9"/>
      <c r="D438" s="9"/>
      <c r="E438" s="9"/>
      <c r="F438" s="9"/>
      <c r="G438" s="9"/>
    </row>
    <row r="439">
      <c r="A439" s="8"/>
      <c r="B439" s="9"/>
      <c r="C439" s="9"/>
      <c r="D439" s="9"/>
      <c r="E439" s="9"/>
      <c r="F439" s="9"/>
      <c r="G439" s="9"/>
    </row>
    <row r="440">
      <c r="A440" s="8"/>
      <c r="B440" s="9"/>
      <c r="C440" s="9"/>
      <c r="D440" s="9"/>
      <c r="E440" s="9"/>
      <c r="F440" s="9"/>
      <c r="G440" s="9"/>
    </row>
    <row r="441">
      <c r="A441" s="8"/>
      <c r="B441" s="9"/>
      <c r="C441" s="9"/>
      <c r="D441" s="9"/>
      <c r="E441" s="9"/>
      <c r="F441" s="9"/>
      <c r="G441" s="9"/>
    </row>
    <row r="442">
      <c r="A442" s="8"/>
      <c r="B442" s="9"/>
      <c r="C442" s="9"/>
      <c r="D442" s="9"/>
      <c r="E442" s="9"/>
      <c r="F442" s="9"/>
      <c r="G442" s="9"/>
    </row>
    <row r="443">
      <c r="A443" s="8"/>
      <c r="B443" s="9"/>
      <c r="C443" s="9"/>
      <c r="D443" s="9"/>
      <c r="E443" s="9"/>
      <c r="F443" s="9"/>
      <c r="G443" s="9"/>
    </row>
    <row r="444">
      <c r="A444" s="8"/>
      <c r="B444" s="9"/>
      <c r="C444" s="9"/>
      <c r="D444" s="9"/>
      <c r="E444" s="9"/>
      <c r="F444" s="9"/>
      <c r="G444" s="9"/>
    </row>
    <row r="445">
      <c r="A445" s="8"/>
      <c r="B445" s="9"/>
      <c r="C445" s="9"/>
      <c r="D445" s="9"/>
      <c r="E445" s="9"/>
      <c r="F445" s="9"/>
      <c r="G445" s="9"/>
    </row>
    <row r="446">
      <c r="A446" s="8"/>
      <c r="B446" s="9"/>
      <c r="C446" s="9"/>
      <c r="D446" s="9"/>
      <c r="E446" s="9"/>
      <c r="F446" s="9"/>
      <c r="G446" s="9"/>
    </row>
    <row r="447">
      <c r="A447" s="8"/>
      <c r="B447" s="9"/>
      <c r="C447" s="9"/>
      <c r="D447" s="9"/>
      <c r="E447" s="9"/>
      <c r="F447" s="9"/>
      <c r="G447" s="9"/>
    </row>
    <row r="448">
      <c r="A448" s="8"/>
      <c r="B448" s="9"/>
      <c r="C448" s="9"/>
      <c r="D448" s="9"/>
      <c r="E448" s="9"/>
      <c r="F448" s="9"/>
      <c r="G448" s="9"/>
    </row>
    <row r="449">
      <c r="A449" s="8"/>
      <c r="B449" s="9"/>
      <c r="C449" s="9"/>
      <c r="D449" s="9"/>
      <c r="E449" s="9"/>
      <c r="F449" s="9"/>
      <c r="G449" s="9"/>
    </row>
    <row r="450">
      <c r="A450" s="8"/>
      <c r="B450" s="9"/>
      <c r="C450" s="9"/>
      <c r="D450" s="9"/>
      <c r="E450" s="9"/>
      <c r="F450" s="9"/>
      <c r="G450" s="9"/>
    </row>
    <row r="451">
      <c r="A451" s="8"/>
      <c r="B451" s="9"/>
      <c r="C451" s="9"/>
      <c r="D451" s="9"/>
      <c r="E451" s="9"/>
      <c r="F451" s="9"/>
      <c r="G451" s="9"/>
    </row>
    <row r="452">
      <c r="A452" s="8"/>
      <c r="B452" s="9"/>
      <c r="C452" s="9"/>
      <c r="D452" s="9"/>
      <c r="E452" s="9"/>
      <c r="F452" s="9"/>
      <c r="G452" s="9"/>
    </row>
    <row r="453">
      <c r="A453" s="8"/>
      <c r="B453" s="9"/>
      <c r="C453" s="9"/>
      <c r="D453" s="9"/>
      <c r="E453" s="9"/>
      <c r="F453" s="9"/>
      <c r="G453" s="9"/>
    </row>
    <row r="454">
      <c r="A454" s="8"/>
      <c r="B454" s="9"/>
      <c r="C454" s="9"/>
      <c r="D454" s="9"/>
      <c r="E454" s="9"/>
      <c r="F454" s="9"/>
      <c r="G454" s="9"/>
    </row>
    <row r="455">
      <c r="A455" s="8"/>
      <c r="B455" s="9"/>
      <c r="C455" s="9"/>
      <c r="D455" s="9"/>
      <c r="E455" s="9"/>
      <c r="F455" s="9"/>
      <c r="G455" s="9"/>
    </row>
    <row r="456">
      <c r="A456" s="8"/>
      <c r="B456" s="9"/>
      <c r="C456" s="9"/>
      <c r="D456" s="9"/>
      <c r="E456" s="9"/>
      <c r="F456" s="9"/>
      <c r="G456" s="9"/>
    </row>
    <row r="457">
      <c r="A457" s="8"/>
      <c r="B457" s="9"/>
      <c r="C457" s="9"/>
      <c r="D457" s="9"/>
      <c r="E457" s="9"/>
      <c r="F457" s="9"/>
      <c r="G457" s="9"/>
    </row>
    <row r="458">
      <c r="A458" s="8"/>
      <c r="B458" s="9"/>
      <c r="C458" s="9"/>
      <c r="D458" s="9"/>
      <c r="E458" s="9"/>
      <c r="F458" s="9"/>
      <c r="G458" s="9"/>
    </row>
    <row r="459">
      <c r="A459" s="8"/>
      <c r="B459" s="9"/>
      <c r="C459" s="9"/>
      <c r="D459" s="9"/>
      <c r="E459" s="9"/>
      <c r="F459" s="9"/>
      <c r="G459" s="9"/>
    </row>
    <row r="460">
      <c r="A460" s="8"/>
      <c r="B460" s="9"/>
      <c r="C460" s="9"/>
      <c r="D460" s="9"/>
      <c r="E460" s="9"/>
      <c r="F460" s="9"/>
      <c r="G460" s="9"/>
    </row>
    <row r="461">
      <c r="A461" s="8"/>
      <c r="B461" s="9"/>
      <c r="C461" s="9"/>
      <c r="D461" s="9"/>
      <c r="E461" s="9"/>
      <c r="F461" s="9"/>
      <c r="G461" s="9"/>
    </row>
    <row r="462">
      <c r="A462" s="8"/>
      <c r="B462" s="9"/>
      <c r="C462" s="9"/>
      <c r="D462" s="9"/>
      <c r="E462" s="9"/>
      <c r="F462" s="9"/>
      <c r="G462" s="9"/>
    </row>
    <row r="463">
      <c r="A463" s="8"/>
      <c r="B463" s="9"/>
      <c r="C463" s="9"/>
      <c r="D463" s="9"/>
      <c r="E463" s="9"/>
      <c r="F463" s="9"/>
      <c r="G463" s="9"/>
    </row>
    <row r="464">
      <c r="A464" s="8"/>
      <c r="B464" s="9"/>
      <c r="C464" s="9"/>
      <c r="D464" s="9"/>
      <c r="E464" s="9"/>
      <c r="F464" s="9"/>
      <c r="G464" s="9"/>
    </row>
    <row r="465">
      <c r="A465" s="8"/>
      <c r="B465" s="9"/>
      <c r="C465" s="9"/>
      <c r="D465" s="9"/>
      <c r="E465" s="9"/>
      <c r="F465" s="9"/>
      <c r="G465" s="9"/>
    </row>
    <row r="466">
      <c r="A466" s="8"/>
      <c r="B466" s="9"/>
      <c r="C466" s="9"/>
      <c r="D466" s="9"/>
      <c r="E466" s="9"/>
      <c r="F466" s="9"/>
      <c r="G466" s="9"/>
    </row>
    <row r="467">
      <c r="A467" s="8"/>
      <c r="B467" s="9"/>
      <c r="C467" s="9"/>
      <c r="D467" s="9"/>
      <c r="E467" s="9"/>
      <c r="F467" s="9"/>
      <c r="G467" s="9"/>
    </row>
    <row r="468">
      <c r="A468" s="8"/>
      <c r="B468" s="9"/>
      <c r="C468" s="9"/>
      <c r="D468" s="9"/>
      <c r="E468" s="9"/>
      <c r="F468" s="9"/>
      <c r="G468" s="9"/>
    </row>
    <row r="469">
      <c r="A469" s="8"/>
      <c r="B469" s="9"/>
      <c r="C469" s="9"/>
      <c r="D469" s="9"/>
      <c r="E469" s="9"/>
      <c r="F469" s="9"/>
      <c r="G469" s="9"/>
    </row>
    <row r="470">
      <c r="A470" s="8"/>
      <c r="B470" s="9"/>
      <c r="C470" s="9"/>
      <c r="D470" s="9"/>
      <c r="E470" s="9"/>
      <c r="F470" s="9"/>
      <c r="G470" s="9"/>
    </row>
    <row r="471">
      <c r="A471" s="8"/>
      <c r="B471" s="9"/>
      <c r="C471" s="9"/>
      <c r="D471" s="9"/>
      <c r="E471" s="9"/>
      <c r="F471" s="9"/>
      <c r="G471" s="9"/>
    </row>
    <row r="472">
      <c r="A472" s="8"/>
      <c r="B472" s="9"/>
      <c r="C472" s="9"/>
      <c r="D472" s="9"/>
      <c r="E472" s="9"/>
      <c r="F472" s="9"/>
      <c r="G472" s="9"/>
    </row>
    <row r="473">
      <c r="A473" s="8"/>
      <c r="B473" s="9"/>
      <c r="C473" s="9"/>
      <c r="D473" s="9"/>
      <c r="E473" s="9"/>
      <c r="F473" s="9"/>
      <c r="G473" s="9"/>
    </row>
    <row r="474">
      <c r="A474" s="8"/>
      <c r="B474" s="9"/>
      <c r="C474" s="9"/>
      <c r="D474" s="9"/>
      <c r="E474" s="9"/>
      <c r="F474" s="9"/>
      <c r="G474" s="9"/>
    </row>
    <row r="475">
      <c r="A475" s="8"/>
      <c r="B475" s="9"/>
      <c r="C475" s="9"/>
      <c r="D475" s="9"/>
      <c r="E475" s="9"/>
      <c r="F475" s="9"/>
      <c r="G475" s="9"/>
    </row>
    <row r="476">
      <c r="A476" s="8"/>
      <c r="B476" s="9"/>
      <c r="C476" s="9"/>
      <c r="D476" s="9"/>
      <c r="E476" s="9"/>
      <c r="F476" s="9"/>
      <c r="G476" s="9"/>
    </row>
    <row r="477">
      <c r="A477" s="8"/>
      <c r="B477" s="9"/>
      <c r="C477" s="9"/>
      <c r="D477" s="9"/>
      <c r="E477" s="9"/>
      <c r="F477" s="9"/>
      <c r="G477" s="9"/>
    </row>
    <row r="478">
      <c r="A478" s="8"/>
      <c r="B478" s="9"/>
      <c r="C478" s="9"/>
      <c r="D478" s="9"/>
      <c r="E478" s="9"/>
      <c r="F478" s="9"/>
      <c r="G478" s="9"/>
    </row>
    <row r="479">
      <c r="A479" s="8"/>
      <c r="B479" s="9"/>
      <c r="C479" s="9"/>
      <c r="D479" s="9"/>
      <c r="E479" s="9"/>
      <c r="F479" s="9"/>
      <c r="G479" s="9"/>
    </row>
    <row r="480">
      <c r="A480" s="8"/>
      <c r="B480" s="9"/>
      <c r="C480" s="9"/>
      <c r="D480" s="9"/>
      <c r="E480" s="9"/>
      <c r="F480" s="9"/>
      <c r="G480" s="9"/>
    </row>
    <row r="481">
      <c r="A481" s="8"/>
      <c r="B481" s="9"/>
      <c r="C481" s="9"/>
      <c r="D481" s="9"/>
      <c r="E481" s="9"/>
      <c r="F481" s="9"/>
      <c r="G481" s="9"/>
    </row>
    <row r="482">
      <c r="A482" s="8"/>
      <c r="B482" s="9"/>
      <c r="C482" s="9"/>
      <c r="D482" s="9"/>
      <c r="E482" s="9"/>
      <c r="F482" s="9"/>
      <c r="G482" s="9"/>
    </row>
    <row r="483">
      <c r="A483" s="8"/>
      <c r="B483" s="9"/>
      <c r="C483" s="9"/>
      <c r="D483" s="9"/>
      <c r="E483" s="9"/>
      <c r="F483" s="9"/>
      <c r="G483" s="9"/>
    </row>
    <row r="484">
      <c r="A484" s="8"/>
      <c r="B484" s="9"/>
      <c r="C484" s="9"/>
      <c r="D484" s="9"/>
      <c r="E484" s="9"/>
      <c r="F484" s="9"/>
      <c r="G484" s="9"/>
    </row>
    <row r="485">
      <c r="A485" s="8"/>
      <c r="B485" s="9"/>
      <c r="C485" s="9"/>
      <c r="D485" s="9"/>
      <c r="E485" s="9"/>
      <c r="F485" s="9"/>
      <c r="G485" s="9"/>
    </row>
    <row r="486">
      <c r="A486" s="8"/>
      <c r="B486" s="9"/>
      <c r="C486" s="9"/>
      <c r="D486" s="9"/>
      <c r="E486" s="9"/>
      <c r="F486" s="9"/>
      <c r="G486" s="9"/>
    </row>
    <row r="487">
      <c r="A487" s="8"/>
      <c r="B487" s="9"/>
      <c r="C487" s="9"/>
      <c r="D487" s="9"/>
      <c r="E487" s="9"/>
      <c r="F487" s="9"/>
      <c r="G487" s="9"/>
    </row>
    <row r="488">
      <c r="A488" s="8"/>
      <c r="B488" s="9"/>
      <c r="C488" s="9"/>
      <c r="D488" s="9"/>
      <c r="E488" s="9"/>
      <c r="F488" s="9"/>
      <c r="G488" s="9"/>
    </row>
    <row r="489">
      <c r="A489" s="8"/>
      <c r="B489" s="9"/>
      <c r="C489" s="9"/>
      <c r="D489" s="9"/>
      <c r="E489" s="9"/>
      <c r="F489" s="9"/>
      <c r="G489" s="9"/>
    </row>
    <row r="490">
      <c r="A490" s="8"/>
      <c r="B490" s="9"/>
      <c r="C490" s="9"/>
      <c r="D490" s="9"/>
      <c r="E490" s="9"/>
      <c r="F490" s="9"/>
      <c r="G490" s="9"/>
    </row>
    <row r="491">
      <c r="A491" s="8"/>
      <c r="B491" s="9"/>
      <c r="C491" s="9"/>
      <c r="D491" s="9"/>
      <c r="E491" s="9"/>
      <c r="F491" s="9"/>
      <c r="G491" s="9"/>
    </row>
    <row r="492">
      <c r="A492" s="8"/>
      <c r="B492" s="9"/>
      <c r="C492" s="9"/>
      <c r="D492" s="9"/>
      <c r="E492" s="9"/>
      <c r="F492" s="9"/>
      <c r="G492" s="9"/>
    </row>
    <row r="493">
      <c r="A493" s="8"/>
      <c r="B493" s="9"/>
      <c r="C493" s="9"/>
      <c r="D493" s="9"/>
      <c r="E493" s="9"/>
      <c r="F493" s="9"/>
      <c r="G493" s="9"/>
    </row>
    <row r="494">
      <c r="A494" s="8"/>
      <c r="B494" s="9"/>
      <c r="C494" s="9"/>
      <c r="D494" s="9"/>
      <c r="E494" s="9"/>
      <c r="F494" s="9"/>
      <c r="G494" s="9"/>
    </row>
    <row r="495">
      <c r="A495" s="8"/>
      <c r="B495" s="9"/>
      <c r="C495" s="9"/>
      <c r="D495" s="9"/>
      <c r="E495" s="9"/>
      <c r="F495" s="9"/>
      <c r="G495" s="9"/>
    </row>
    <row r="496">
      <c r="A496" s="8"/>
      <c r="B496" s="9"/>
      <c r="C496" s="9"/>
      <c r="D496" s="9"/>
      <c r="E496" s="9"/>
      <c r="F496" s="9"/>
      <c r="G496" s="9"/>
    </row>
    <row r="497">
      <c r="A497" s="8"/>
      <c r="B497" s="9"/>
      <c r="C497" s="9"/>
      <c r="D497" s="9"/>
      <c r="E497" s="9"/>
      <c r="F497" s="9"/>
      <c r="G497" s="9"/>
    </row>
    <row r="498">
      <c r="A498" s="8"/>
      <c r="B498" s="9"/>
      <c r="C498" s="9"/>
      <c r="D498" s="9"/>
      <c r="E498" s="9"/>
      <c r="F498" s="9"/>
      <c r="G498" s="9"/>
    </row>
    <row r="499">
      <c r="A499" s="8"/>
      <c r="B499" s="9"/>
      <c r="C499" s="9"/>
      <c r="D499" s="9"/>
      <c r="E499" s="9"/>
      <c r="F499" s="9"/>
      <c r="G499" s="9"/>
    </row>
    <row r="500">
      <c r="A500" s="8"/>
      <c r="B500" s="9"/>
      <c r="C500" s="9"/>
      <c r="D500" s="9"/>
      <c r="E500" s="9"/>
      <c r="F500" s="9"/>
      <c r="G500" s="9"/>
    </row>
    <row r="501">
      <c r="A501" s="8"/>
      <c r="B501" s="9"/>
      <c r="C501" s="9"/>
      <c r="D501" s="9"/>
      <c r="E501" s="9"/>
      <c r="F501" s="9"/>
      <c r="G501" s="9"/>
    </row>
    <row r="502">
      <c r="A502" s="8"/>
      <c r="B502" s="9"/>
      <c r="C502" s="9"/>
      <c r="D502" s="9"/>
      <c r="E502" s="9"/>
      <c r="F502" s="9"/>
      <c r="G502" s="9"/>
    </row>
    <row r="503">
      <c r="A503" s="8"/>
      <c r="B503" s="9"/>
      <c r="C503" s="9"/>
      <c r="D503" s="9"/>
      <c r="E503" s="9"/>
      <c r="F503" s="9"/>
      <c r="G503" s="9"/>
    </row>
    <row r="504">
      <c r="A504" s="8"/>
      <c r="B504" s="9"/>
      <c r="C504" s="9"/>
      <c r="D504" s="9"/>
      <c r="E504" s="9"/>
      <c r="F504" s="9"/>
      <c r="G504" s="9"/>
    </row>
    <row r="505">
      <c r="A505" s="8"/>
      <c r="B505" s="9"/>
      <c r="C505" s="9"/>
      <c r="D505" s="9"/>
      <c r="E505" s="9"/>
      <c r="F505" s="9"/>
      <c r="G505" s="9"/>
    </row>
    <row r="506">
      <c r="A506" s="8"/>
      <c r="B506" s="9"/>
      <c r="C506" s="9"/>
      <c r="D506" s="9"/>
      <c r="E506" s="9"/>
      <c r="F506" s="9"/>
      <c r="G506" s="9"/>
    </row>
    <row r="507">
      <c r="A507" s="8"/>
      <c r="B507" s="9"/>
      <c r="C507" s="9"/>
      <c r="D507" s="9"/>
      <c r="E507" s="9"/>
      <c r="F507" s="9"/>
      <c r="G507" s="9"/>
    </row>
    <row r="508">
      <c r="A508" s="8"/>
      <c r="B508" s="9"/>
      <c r="C508" s="9"/>
      <c r="D508" s="9"/>
      <c r="E508" s="9"/>
      <c r="F508" s="9"/>
      <c r="G508" s="9"/>
    </row>
    <row r="509">
      <c r="A509" s="8"/>
      <c r="B509" s="9"/>
      <c r="C509" s="9"/>
      <c r="D509" s="9"/>
      <c r="E509" s="9"/>
      <c r="F509" s="9"/>
      <c r="G509" s="9"/>
    </row>
    <row r="510">
      <c r="A510" s="8"/>
      <c r="B510" s="9"/>
      <c r="C510" s="9"/>
      <c r="D510" s="9"/>
      <c r="E510" s="9"/>
      <c r="F510" s="9"/>
      <c r="G510" s="9"/>
    </row>
    <row r="511">
      <c r="A511" s="8"/>
      <c r="B511" s="9"/>
      <c r="C511" s="9"/>
      <c r="D511" s="9"/>
      <c r="E511" s="9"/>
      <c r="F511" s="9"/>
      <c r="G511" s="9"/>
    </row>
    <row r="512">
      <c r="A512" s="8"/>
      <c r="B512" s="9"/>
      <c r="C512" s="9"/>
      <c r="D512" s="9"/>
      <c r="E512" s="9"/>
      <c r="F512" s="9"/>
      <c r="G512" s="9"/>
    </row>
    <row r="513">
      <c r="A513" s="8"/>
      <c r="B513" s="9"/>
      <c r="C513" s="9"/>
      <c r="D513" s="9"/>
      <c r="E513" s="9"/>
      <c r="F513" s="9"/>
      <c r="G513" s="9"/>
    </row>
    <row r="514">
      <c r="A514" s="8"/>
      <c r="B514" s="9"/>
      <c r="C514" s="9"/>
      <c r="D514" s="9"/>
      <c r="E514" s="9"/>
      <c r="F514" s="9"/>
      <c r="G514" s="9"/>
    </row>
    <row r="515">
      <c r="A515" s="8"/>
      <c r="B515" s="9"/>
      <c r="C515" s="9"/>
      <c r="D515" s="9"/>
      <c r="E515" s="9"/>
      <c r="F515" s="9"/>
      <c r="G515" s="9"/>
    </row>
    <row r="516">
      <c r="A516" s="8"/>
      <c r="B516" s="9"/>
      <c r="C516" s="9"/>
      <c r="D516" s="9"/>
      <c r="E516" s="9"/>
      <c r="F516" s="9"/>
      <c r="G516" s="9"/>
    </row>
    <row r="517">
      <c r="A517" s="8"/>
      <c r="B517" s="9"/>
      <c r="C517" s="9"/>
      <c r="D517" s="9"/>
      <c r="E517" s="9"/>
      <c r="F517" s="9"/>
      <c r="G517" s="9"/>
    </row>
    <row r="518">
      <c r="A518" s="8"/>
      <c r="B518" s="9"/>
      <c r="C518" s="9"/>
      <c r="D518" s="9"/>
      <c r="E518" s="9"/>
      <c r="F518" s="9"/>
      <c r="G518" s="9"/>
    </row>
    <row r="519">
      <c r="A519" s="8"/>
      <c r="B519" s="9"/>
      <c r="C519" s="9"/>
      <c r="D519" s="9"/>
      <c r="E519" s="9"/>
      <c r="F519" s="9"/>
      <c r="G519" s="9"/>
    </row>
    <row r="520">
      <c r="A520" s="8"/>
      <c r="B520" s="9"/>
      <c r="C520" s="9"/>
      <c r="D520" s="9"/>
      <c r="E520" s="9"/>
      <c r="F520" s="9"/>
      <c r="G520" s="9"/>
    </row>
    <row r="521">
      <c r="A521" s="8"/>
      <c r="B521" s="9"/>
      <c r="C521" s="9"/>
      <c r="D521" s="9"/>
      <c r="E521" s="9"/>
      <c r="F521" s="9"/>
      <c r="G521" s="9"/>
    </row>
    <row r="522">
      <c r="A522" s="8"/>
      <c r="B522" s="9"/>
      <c r="C522" s="9"/>
      <c r="D522" s="9"/>
      <c r="E522" s="9"/>
      <c r="F522" s="9"/>
      <c r="G522" s="9"/>
    </row>
    <row r="523">
      <c r="A523" s="8"/>
      <c r="B523" s="9"/>
      <c r="C523" s="9"/>
      <c r="D523" s="9"/>
      <c r="E523" s="9"/>
      <c r="F523" s="9"/>
      <c r="G523" s="9"/>
    </row>
    <row r="524">
      <c r="A524" s="8"/>
      <c r="B524" s="9"/>
      <c r="C524" s="9"/>
      <c r="D524" s="9"/>
      <c r="E524" s="9"/>
      <c r="F524" s="9"/>
      <c r="G524" s="9"/>
    </row>
    <row r="525">
      <c r="A525" s="8"/>
      <c r="B525" s="9"/>
      <c r="C525" s="9"/>
      <c r="D525" s="9"/>
      <c r="E525" s="9"/>
      <c r="F525" s="9"/>
      <c r="G525" s="9"/>
    </row>
    <row r="526">
      <c r="A526" s="8"/>
      <c r="B526" s="9"/>
      <c r="C526" s="9"/>
      <c r="D526" s="9"/>
      <c r="E526" s="9"/>
      <c r="F526" s="9"/>
      <c r="G526" s="9"/>
    </row>
    <row r="527">
      <c r="A527" s="8"/>
      <c r="B527" s="9"/>
      <c r="C527" s="9"/>
      <c r="D527" s="9"/>
      <c r="E527" s="9"/>
      <c r="F527" s="9"/>
      <c r="G527" s="9"/>
    </row>
    <row r="528">
      <c r="A528" s="8"/>
      <c r="B528" s="9"/>
      <c r="C528" s="9"/>
      <c r="D528" s="9"/>
      <c r="E528" s="9"/>
      <c r="F528" s="9"/>
      <c r="G528" s="9"/>
    </row>
    <row r="529">
      <c r="A529" s="8"/>
      <c r="B529" s="9"/>
      <c r="C529" s="9"/>
      <c r="D529" s="9"/>
      <c r="E529" s="9"/>
      <c r="F529" s="9"/>
      <c r="G529" s="9"/>
    </row>
    <row r="530">
      <c r="A530" s="8"/>
      <c r="B530" s="9"/>
      <c r="C530" s="9"/>
      <c r="D530" s="9"/>
      <c r="E530" s="9"/>
      <c r="F530" s="9"/>
      <c r="G530" s="9"/>
    </row>
    <row r="531">
      <c r="A531" s="8"/>
      <c r="B531" s="9"/>
      <c r="C531" s="9"/>
      <c r="D531" s="9"/>
      <c r="E531" s="9"/>
      <c r="F531" s="9"/>
      <c r="G531" s="9"/>
    </row>
    <row r="532">
      <c r="A532" s="8"/>
      <c r="B532" s="9"/>
      <c r="C532" s="9"/>
      <c r="D532" s="9"/>
      <c r="E532" s="9"/>
      <c r="F532" s="9"/>
      <c r="G532" s="9"/>
    </row>
    <row r="533">
      <c r="A533" s="8"/>
      <c r="B533" s="9"/>
      <c r="C533" s="9"/>
      <c r="D533" s="9"/>
      <c r="E533" s="9"/>
      <c r="F533" s="9"/>
      <c r="G533" s="9"/>
    </row>
    <row r="534">
      <c r="A534" s="8"/>
      <c r="B534" s="9"/>
      <c r="C534" s="9"/>
      <c r="D534" s="9"/>
      <c r="E534" s="9"/>
      <c r="F534" s="9"/>
      <c r="G534" s="9"/>
    </row>
    <row r="535">
      <c r="A535" s="8"/>
      <c r="B535" s="9"/>
      <c r="C535" s="9"/>
      <c r="D535" s="9"/>
      <c r="E535" s="9"/>
      <c r="F535" s="9"/>
      <c r="G535" s="9"/>
    </row>
    <row r="536">
      <c r="A536" s="8"/>
      <c r="B536" s="9"/>
      <c r="C536" s="9"/>
      <c r="D536" s="9"/>
      <c r="E536" s="9"/>
      <c r="F536" s="9"/>
      <c r="G536" s="9"/>
    </row>
    <row r="537">
      <c r="A537" s="8"/>
      <c r="B537" s="9"/>
      <c r="C537" s="9"/>
      <c r="D537" s="9"/>
      <c r="E537" s="9"/>
      <c r="F537" s="9"/>
      <c r="G537" s="9"/>
    </row>
    <row r="538">
      <c r="A538" s="8"/>
      <c r="B538" s="9"/>
      <c r="C538" s="9"/>
      <c r="D538" s="9"/>
      <c r="E538" s="9"/>
      <c r="F538" s="9"/>
      <c r="G538" s="9"/>
    </row>
    <row r="539">
      <c r="A539" s="8"/>
      <c r="B539" s="9"/>
      <c r="C539" s="9"/>
      <c r="D539" s="9"/>
      <c r="E539" s="9"/>
      <c r="F539" s="9"/>
      <c r="G539" s="9"/>
    </row>
    <row r="540">
      <c r="A540" s="8"/>
      <c r="B540" s="9"/>
      <c r="C540" s="9"/>
      <c r="D540" s="9"/>
      <c r="E540" s="9"/>
      <c r="F540" s="9"/>
      <c r="G540" s="9"/>
    </row>
    <row r="541">
      <c r="A541" s="8"/>
      <c r="B541" s="9"/>
      <c r="C541" s="9"/>
      <c r="D541" s="9"/>
      <c r="E541" s="9"/>
      <c r="F541" s="9"/>
      <c r="G541" s="9"/>
    </row>
    <row r="542">
      <c r="A542" s="8"/>
      <c r="B542" s="9"/>
      <c r="C542" s="9"/>
      <c r="D542" s="9"/>
      <c r="E542" s="9"/>
      <c r="F542" s="9"/>
      <c r="G542" s="9"/>
    </row>
    <row r="543">
      <c r="A543" s="8"/>
      <c r="B543" s="9"/>
      <c r="C543" s="9"/>
      <c r="D543" s="9"/>
      <c r="E543" s="9"/>
      <c r="F543" s="9"/>
      <c r="G543" s="9"/>
    </row>
    <row r="544">
      <c r="A544" s="8"/>
      <c r="B544" s="9"/>
      <c r="C544" s="9"/>
      <c r="D544" s="9"/>
      <c r="E544" s="9"/>
      <c r="F544" s="9"/>
      <c r="G544" s="9"/>
    </row>
    <row r="545">
      <c r="A545" s="8"/>
      <c r="B545" s="9"/>
      <c r="C545" s="9"/>
      <c r="D545" s="9"/>
      <c r="E545" s="9"/>
      <c r="F545" s="9"/>
      <c r="G545" s="9"/>
    </row>
    <row r="546">
      <c r="A546" s="8"/>
      <c r="B546" s="9"/>
      <c r="C546" s="9"/>
      <c r="D546" s="9"/>
      <c r="E546" s="9"/>
      <c r="F546" s="9"/>
      <c r="G546" s="9"/>
    </row>
    <row r="547">
      <c r="A547" s="8"/>
      <c r="B547" s="9"/>
      <c r="C547" s="9"/>
      <c r="D547" s="9"/>
      <c r="E547" s="9"/>
      <c r="F547" s="9"/>
      <c r="G547" s="9"/>
    </row>
    <row r="548">
      <c r="A548" s="8"/>
      <c r="B548" s="9"/>
      <c r="C548" s="9"/>
      <c r="D548" s="9"/>
      <c r="E548" s="9"/>
      <c r="F548" s="9"/>
      <c r="G548" s="9"/>
    </row>
    <row r="549">
      <c r="A549" s="8"/>
      <c r="B549" s="9"/>
      <c r="C549" s="9"/>
      <c r="D549" s="9"/>
      <c r="E549" s="9"/>
      <c r="F549" s="9"/>
      <c r="G549" s="9"/>
    </row>
    <row r="550">
      <c r="A550" s="8"/>
      <c r="B550" s="9"/>
      <c r="C550" s="9"/>
      <c r="D550" s="9"/>
      <c r="E550" s="9"/>
      <c r="F550" s="9"/>
      <c r="G550" s="9"/>
    </row>
    <row r="551">
      <c r="A551" s="8"/>
      <c r="B551" s="9"/>
      <c r="C551" s="9"/>
      <c r="D551" s="9"/>
      <c r="E551" s="9"/>
      <c r="F551" s="9"/>
      <c r="G551" s="9"/>
    </row>
    <row r="552">
      <c r="A552" s="8"/>
      <c r="B552" s="9"/>
      <c r="C552" s="9"/>
      <c r="D552" s="9"/>
      <c r="E552" s="9"/>
      <c r="F552" s="9"/>
      <c r="G552" s="9"/>
    </row>
    <row r="553">
      <c r="A553" s="8"/>
      <c r="B553" s="9"/>
      <c r="C553" s="9"/>
      <c r="D553" s="9"/>
      <c r="E553" s="9"/>
      <c r="F553" s="9"/>
      <c r="G553" s="9"/>
    </row>
    <row r="554">
      <c r="A554" s="8"/>
      <c r="B554" s="9"/>
      <c r="C554" s="9"/>
      <c r="D554" s="9"/>
      <c r="E554" s="9"/>
      <c r="F554" s="9"/>
      <c r="G554" s="9"/>
    </row>
    <row r="555">
      <c r="A555" s="8"/>
      <c r="B555" s="9"/>
      <c r="C555" s="9"/>
      <c r="D555" s="9"/>
      <c r="E555" s="9"/>
      <c r="F555" s="9"/>
      <c r="G555" s="9"/>
    </row>
    <row r="556">
      <c r="A556" s="8"/>
      <c r="B556" s="9"/>
      <c r="C556" s="9"/>
      <c r="D556" s="9"/>
      <c r="E556" s="9"/>
      <c r="F556" s="9"/>
      <c r="G556" s="9"/>
    </row>
    <row r="557">
      <c r="A557" s="8"/>
      <c r="B557" s="9"/>
      <c r="C557" s="9"/>
      <c r="D557" s="9"/>
      <c r="E557" s="9"/>
      <c r="F557" s="9"/>
      <c r="G557" s="9"/>
    </row>
    <row r="558">
      <c r="A558" s="8"/>
      <c r="B558" s="9"/>
      <c r="C558" s="9"/>
      <c r="D558" s="9"/>
      <c r="E558" s="9"/>
      <c r="F558" s="9"/>
      <c r="G558" s="9"/>
    </row>
    <row r="559">
      <c r="A559" s="8"/>
      <c r="B559" s="9"/>
      <c r="C559" s="9"/>
      <c r="D559" s="9"/>
      <c r="E559" s="9"/>
      <c r="F559" s="9"/>
      <c r="G559" s="9"/>
    </row>
    <row r="560">
      <c r="A560" s="8"/>
      <c r="B560" s="9"/>
      <c r="C560" s="9"/>
      <c r="D560" s="9"/>
      <c r="E560" s="9"/>
      <c r="F560" s="9"/>
      <c r="G560" s="9"/>
    </row>
    <row r="561">
      <c r="A561" s="8"/>
      <c r="B561" s="9"/>
      <c r="C561" s="9"/>
      <c r="D561" s="9"/>
      <c r="E561" s="9"/>
      <c r="F561" s="9"/>
      <c r="G561" s="9"/>
    </row>
    <row r="562">
      <c r="A562" s="8"/>
      <c r="B562" s="9"/>
      <c r="C562" s="9"/>
      <c r="D562" s="9"/>
      <c r="E562" s="9"/>
      <c r="F562" s="9"/>
      <c r="G562" s="9"/>
    </row>
    <row r="563">
      <c r="A563" s="8"/>
      <c r="B563" s="9"/>
      <c r="C563" s="9"/>
      <c r="D563" s="9"/>
      <c r="E563" s="9"/>
      <c r="F563" s="9"/>
      <c r="G563" s="9"/>
    </row>
    <row r="564">
      <c r="A564" s="8"/>
      <c r="B564" s="9"/>
      <c r="C564" s="9"/>
      <c r="D564" s="9"/>
      <c r="E564" s="9"/>
      <c r="F564" s="9"/>
      <c r="G564" s="9"/>
    </row>
    <row r="565">
      <c r="A565" s="8"/>
      <c r="B565" s="9"/>
      <c r="C565" s="9"/>
      <c r="D565" s="9"/>
      <c r="E565" s="9"/>
      <c r="F565" s="9"/>
      <c r="G565" s="9"/>
    </row>
    <row r="566">
      <c r="A566" s="8"/>
      <c r="B566" s="9"/>
      <c r="C566" s="9"/>
      <c r="D566" s="9"/>
      <c r="E566" s="9"/>
      <c r="F566" s="9"/>
      <c r="G566" s="9"/>
    </row>
    <row r="567">
      <c r="A567" s="8"/>
      <c r="B567" s="9"/>
      <c r="C567" s="9"/>
      <c r="D567" s="9"/>
      <c r="E567" s="9"/>
      <c r="F567" s="9"/>
      <c r="G567" s="9"/>
    </row>
    <row r="568">
      <c r="A568" s="8"/>
      <c r="B568" s="9"/>
      <c r="C568" s="9"/>
      <c r="D568" s="9"/>
      <c r="E568" s="9"/>
      <c r="F568" s="9"/>
      <c r="G568" s="9"/>
    </row>
    <row r="569">
      <c r="A569" s="8"/>
      <c r="B569" s="9"/>
      <c r="C569" s="9"/>
      <c r="D569" s="9"/>
      <c r="E569" s="9"/>
      <c r="F569" s="9"/>
      <c r="G569" s="9"/>
    </row>
    <row r="570">
      <c r="A570" s="8"/>
      <c r="B570" s="9"/>
      <c r="C570" s="9"/>
      <c r="D570" s="9"/>
      <c r="E570" s="9"/>
      <c r="F570" s="9"/>
      <c r="G570" s="9"/>
    </row>
    <row r="571">
      <c r="A571" s="8"/>
      <c r="B571" s="9"/>
      <c r="C571" s="9"/>
      <c r="D571" s="9"/>
      <c r="E571" s="9"/>
      <c r="F571" s="9"/>
      <c r="G571" s="9"/>
    </row>
    <row r="572">
      <c r="A572" s="8"/>
      <c r="B572" s="9"/>
      <c r="C572" s="9"/>
      <c r="D572" s="9"/>
      <c r="E572" s="9"/>
      <c r="F572" s="9"/>
      <c r="G572" s="9"/>
    </row>
    <row r="573">
      <c r="A573" s="8"/>
      <c r="B573" s="9"/>
      <c r="C573" s="9"/>
      <c r="D573" s="9"/>
      <c r="E573" s="9"/>
      <c r="F573" s="9"/>
      <c r="G573" s="9"/>
    </row>
    <row r="574">
      <c r="A574" s="8"/>
      <c r="B574" s="9"/>
      <c r="C574" s="9"/>
      <c r="D574" s="9"/>
      <c r="E574" s="9"/>
      <c r="F574" s="9"/>
      <c r="G574" s="9"/>
    </row>
    <row r="575">
      <c r="A575" s="8"/>
      <c r="B575" s="9"/>
      <c r="C575" s="9"/>
      <c r="D575" s="9"/>
      <c r="E575" s="9"/>
      <c r="F575" s="9"/>
      <c r="G575" s="9"/>
    </row>
    <row r="576">
      <c r="A576" s="8"/>
      <c r="B576" s="9"/>
      <c r="C576" s="9"/>
      <c r="D576" s="9"/>
      <c r="E576" s="9"/>
      <c r="F576" s="9"/>
      <c r="G576" s="9"/>
    </row>
    <row r="577">
      <c r="A577" s="8"/>
      <c r="B577" s="9"/>
      <c r="C577" s="9"/>
      <c r="D577" s="9"/>
      <c r="E577" s="9"/>
      <c r="F577" s="9"/>
      <c r="G577" s="9"/>
    </row>
    <row r="578">
      <c r="A578" s="8"/>
      <c r="B578" s="9"/>
      <c r="C578" s="9"/>
      <c r="D578" s="9"/>
      <c r="E578" s="9"/>
      <c r="F578" s="9"/>
      <c r="G578" s="9"/>
    </row>
    <row r="579">
      <c r="A579" s="8"/>
      <c r="B579" s="9"/>
      <c r="C579" s="9"/>
      <c r="D579" s="9"/>
      <c r="E579" s="9"/>
      <c r="F579" s="9"/>
      <c r="G579" s="9"/>
    </row>
    <row r="580">
      <c r="A580" s="8"/>
      <c r="B580" s="9"/>
      <c r="C580" s="9"/>
      <c r="D580" s="9"/>
      <c r="E580" s="9"/>
      <c r="F580" s="9"/>
      <c r="G580" s="9"/>
    </row>
    <row r="581">
      <c r="A581" s="8"/>
      <c r="B581" s="9"/>
      <c r="C581" s="9"/>
      <c r="D581" s="9"/>
      <c r="E581" s="9"/>
      <c r="F581" s="9"/>
      <c r="G581" s="9"/>
    </row>
    <row r="582">
      <c r="A582" s="8"/>
      <c r="B582" s="9"/>
      <c r="C582" s="9"/>
      <c r="D582" s="9"/>
      <c r="E582" s="9"/>
      <c r="F582" s="9"/>
      <c r="G582" s="9"/>
    </row>
    <row r="583">
      <c r="A583" s="8"/>
      <c r="B583" s="9"/>
      <c r="C583" s="9"/>
      <c r="D583" s="9"/>
      <c r="E583" s="9"/>
      <c r="F583" s="9"/>
      <c r="G583" s="9"/>
    </row>
    <row r="584">
      <c r="A584" s="8"/>
      <c r="B584" s="9"/>
      <c r="C584" s="9"/>
      <c r="D584" s="9"/>
      <c r="E584" s="9"/>
      <c r="F584" s="9"/>
      <c r="G584" s="9"/>
    </row>
    <row r="585">
      <c r="A585" s="8"/>
      <c r="B585" s="9"/>
      <c r="C585" s="9"/>
      <c r="D585" s="9"/>
      <c r="E585" s="9"/>
      <c r="F585" s="9"/>
      <c r="G585" s="9"/>
    </row>
    <row r="586">
      <c r="A586" s="8"/>
      <c r="B586" s="9"/>
      <c r="C586" s="9"/>
      <c r="D586" s="9"/>
      <c r="E586" s="9"/>
      <c r="F586" s="9"/>
      <c r="G586" s="9"/>
    </row>
    <row r="587">
      <c r="A587" s="8"/>
      <c r="B587" s="9"/>
      <c r="C587" s="9"/>
      <c r="D587" s="9"/>
      <c r="E587" s="9"/>
      <c r="F587" s="9"/>
      <c r="G587" s="9"/>
    </row>
    <row r="588">
      <c r="A588" s="8"/>
      <c r="B588" s="9"/>
      <c r="C588" s="9"/>
      <c r="D588" s="9"/>
      <c r="E588" s="9"/>
      <c r="F588" s="9"/>
      <c r="G588" s="9"/>
    </row>
    <row r="589">
      <c r="A589" s="8"/>
      <c r="B589" s="9"/>
      <c r="C589" s="9"/>
      <c r="D589" s="9"/>
      <c r="E589" s="9"/>
      <c r="F589" s="9"/>
      <c r="G589" s="9"/>
    </row>
    <row r="590">
      <c r="A590" s="8"/>
      <c r="B590" s="9"/>
      <c r="C590" s="9"/>
      <c r="D590" s="9"/>
      <c r="E590" s="9"/>
      <c r="F590" s="9"/>
      <c r="G590" s="9"/>
    </row>
    <row r="591">
      <c r="A591" s="8"/>
      <c r="B591" s="9"/>
      <c r="C591" s="9"/>
      <c r="D591" s="9"/>
      <c r="E591" s="9"/>
      <c r="F591" s="9"/>
      <c r="G591" s="9"/>
    </row>
    <row r="592">
      <c r="A592" s="8"/>
      <c r="B592" s="9"/>
      <c r="C592" s="9"/>
      <c r="D592" s="9"/>
      <c r="E592" s="9"/>
      <c r="F592" s="9"/>
      <c r="G592" s="9"/>
    </row>
    <row r="593">
      <c r="A593" s="8"/>
      <c r="B593" s="9"/>
      <c r="C593" s="9"/>
      <c r="D593" s="9"/>
      <c r="E593" s="9"/>
      <c r="F593" s="9"/>
      <c r="G593" s="9"/>
    </row>
    <row r="594">
      <c r="A594" s="8"/>
      <c r="B594" s="9"/>
      <c r="C594" s="9"/>
      <c r="D594" s="9"/>
      <c r="E594" s="9"/>
      <c r="F594" s="9"/>
      <c r="G594" s="9"/>
    </row>
    <row r="595">
      <c r="A595" s="8"/>
      <c r="B595" s="9"/>
      <c r="C595" s="9"/>
      <c r="D595" s="9"/>
      <c r="E595" s="9"/>
      <c r="F595" s="9"/>
      <c r="G595" s="9"/>
    </row>
    <row r="596">
      <c r="A596" s="8"/>
      <c r="B596" s="9"/>
      <c r="C596" s="9"/>
      <c r="D596" s="9"/>
      <c r="E596" s="9"/>
      <c r="F596" s="9"/>
      <c r="G596" s="9"/>
    </row>
    <row r="597">
      <c r="A597" s="8"/>
      <c r="B597" s="9"/>
      <c r="C597" s="9"/>
      <c r="D597" s="9"/>
      <c r="E597" s="9"/>
      <c r="F597" s="9"/>
      <c r="G597" s="9"/>
    </row>
    <row r="598">
      <c r="A598" s="8"/>
      <c r="B598" s="9"/>
      <c r="C598" s="9"/>
      <c r="D598" s="9"/>
      <c r="E598" s="9"/>
      <c r="F598" s="9"/>
      <c r="G598" s="9"/>
    </row>
    <row r="599">
      <c r="A599" s="8"/>
      <c r="B599" s="9"/>
      <c r="C599" s="9"/>
      <c r="D599" s="9"/>
      <c r="E599" s="9"/>
      <c r="F599" s="9"/>
      <c r="G599" s="9"/>
    </row>
    <row r="600">
      <c r="A600" s="8"/>
      <c r="B600" s="9"/>
      <c r="C600" s="9"/>
      <c r="D600" s="9"/>
      <c r="E600" s="9"/>
      <c r="F600" s="9"/>
      <c r="G600" s="9"/>
    </row>
    <row r="601">
      <c r="A601" s="8"/>
      <c r="B601" s="9"/>
      <c r="C601" s="9"/>
      <c r="D601" s="9"/>
      <c r="E601" s="9"/>
      <c r="F601" s="9"/>
      <c r="G601" s="9"/>
    </row>
    <row r="602">
      <c r="A602" s="8"/>
      <c r="B602" s="9"/>
      <c r="C602" s="9"/>
      <c r="D602" s="9"/>
      <c r="E602" s="9"/>
      <c r="F602" s="9"/>
      <c r="G602" s="9"/>
    </row>
    <row r="603">
      <c r="A603" s="8"/>
      <c r="B603" s="9"/>
      <c r="C603" s="9"/>
      <c r="D603" s="9"/>
      <c r="E603" s="9"/>
      <c r="F603" s="9"/>
      <c r="G603" s="9"/>
    </row>
    <row r="604">
      <c r="A604" s="8"/>
      <c r="B604" s="9"/>
      <c r="C604" s="9"/>
      <c r="D604" s="9"/>
      <c r="E604" s="9"/>
      <c r="F604" s="9"/>
      <c r="G604" s="9"/>
    </row>
    <row r="605">
      <c r="A605" s="8"/>
      <c r="B605" s="9"/>
      <c r="C605" s="9"/>
      <c r="D605" s="9"/>
      <c r="E605" s="9"/>
      <c r="F605" s="9"/>
      <c r="G605" s="9"/>
    </row>
    <row r="606">
      <c r="A606" s="8"/>
      <c r="B606" s="9"/>
      <c r="C606" s="9"/>
      <c r="D606" s="9"/>
      <c r="E606" s="9"/>
      <c r="F606" s="9"/>
      <c r="G606" s="9"/>
    </row>
    <row r="607">
      <c r="A607" s="8"/>
      <c r="B607" s="9"/>
      <c r="C607" s="9"/>
      <c r="D607" s="9"/>
      <c r="E607" s="9"/>
      <c r="F607" s="9"/>
      <c r="G607" s="9"/>
    </row>
    <row r="608">
      <c r="A608" s="8"/>
      <c r="B608" s="9"/>
      <c r="C608" s="9"/>
      <c r="D608" s="9"/>
      <c r="E608" s="9"/>
      <c r="F608" s="9"/>
      <c r="G608" s="9"/>
    </row>
    <row r="609">
      <c r="A609" s="8"/>
      <c r="B609" s="9"/>
      <c r="C609" s="9"/>
      <c r="D609" s="9"/>
      <c r="E609" s="9"/>
      <c r="F609" s="9"/>
      <c r="G609" s="9"/>
    </row>
    <row r="610">
      <c r="A610" s="8"/>
      <c r="B610" s="9"/>
      <c r="C610" s="9"/>
      <c r="D610" s="9"/>
      <c r="E610" s="9"/>
      <c r="F610" s="9"/>
      <c r="G610" s="9"/>
    </row>
    <row r="611">
      <c r="A611" s="8"/>
      <c r="B611" s="9"/>
      <c r="C611" s="9"/>
      <c r="D611" s="9"/>
      <c r="E611" s="9"/>
      <c r="F611" s="9"/>
      <c r="G611" s="9"/>
    </row>
    <row r="612">
      <c r="A612" s="8"/>
      <c r="B612" s="9"/>
      <c r="C612" s="9"/>
      <c r="D612" s="9"/>
      <c r="E612" s="9"/>
      <c r="F612" s="9"/>
      <c r="G612" s="9"/>
    </row>
    <row r="613">
      <c r="A613" s="8"/>
      <c r="B613" s="9"/>
      <c r="C613" s="9"/>
      <c r="D613" s="9"/>
      <c r="E613" s="9"/>
      <c r="F613" s="9"/>
      <c r="G613" s="9"/>
    </row>
    <row r="614">
      <c r="A614" s="8"/>
      <c r="B614" s="9"/>
      <c r="C614" s="9"/>
      <c r="D614" s="9"/>
      <c r="E614" s="9"/>
      <c r="F614" s="9"/>
      <c r="G614" s="9"/>
    </row>
    <row r="615">
      <c r="A615" s="8"/>
      <c r="B615" s="9"/>
      <c r="C615" s="9"/>
      <c r="D615" s="9"/>
      <c r="E615" s="9"/>
      <c r="F615" s="9"/>
      <c r="G615" s="9"/>
    </row>
    <row r="616">
      <c r="A616" s="8"/>
      <c r="B616" s="9"/>
      <c r="C616" s="9"/>
      <c r="D616" s="9"/>
      <c r="E616" s="9"/>
      <c r="F616" s="9"/>
      <c r="G616" s="9"/>
    </row>
    <row r="617">
      <c r="A617" s="8"/>
      <c r="B617" s="9"/>
      <c r="C617" s="9"/>
      <c r="D617" s="9"/>
      <c r="E617" s="9"/>
      <c r="F617" s="9"/>
      <c r="G617" s="9"/>
    </row>
    <row r="618">
      <c r="A618" s="8"/>
      <c r="B618" s="9"/>
      <c r="C618" s="9"/>
      <c r="D618" s="9"/>
      <c r="E618" s="9"/>
      <c r="F618" s="9"/>
      <c r="G618" s="9"/>
    </row>
    <row r="619">
      <c r="A619" s="8"/>
      <c r="B619" s="9"/>
      <c r="C619" s="9"/>
      <c r="D619" s="9"/>
      <c r="E619" s="9"/>
      <c r="F619" s="9"/>
      <c r="G619" s="9"/>
    </row>
    <row r="620">
      <c r="A620" s="8"/>
      <c r="B620" s="9"/>
      <c r="C620" s="9"/>
      <c r="D620" s="9"/>
      <c r="E620" s="9"/>
      <c r="F620" s="9"/>
      <c r="G620" s="9"/>
    </row>
    <row r="621">
      <c r="A621" s="8"/>
      <c r="B621" s="9"/>
      <c r="C621" s="9"/>
      <c r="D621" s="9"/>
      <c r="E621" s="9"/>
      <c r="F621" s="9"/>
      <c r="G621" s="9"/>
    </row>
    <row r="622">
      <c r="A622" s="8"/>
      <c r="B622" s="9"/>
      <c r="C622" s="9"/>
      <c r="D622" s="9"/>
      <c r="E622" s="9"/>
      <c r="F622" s="9"/>
      <c r="G622" s="9"/>
    </row>
    <row r="623">
      <c r="A623" s="8"/>
      <c r="B623" s="9"/>
      <c r="C623" s="9"/>
      <c r="D623" s="9"/>
      <c r="E623" s="9"/>
      <c r="F623" s="9"/>
      <c r="G623" s="9"/>
    </row>
    <row r="624">
      <c r="A624" s="8"/>
      <c r="B624" s="9"/>
      <c r="C624" s="9"/>
      <c r="D624" s="9"/>
      <c r="E624" s="9"/>
      <c r="F624" s="9"/>
      <c r="G624" s="9"/>
    </row>
    <row r="625">
      <c r="A625" s="8"/>
      <c r="B625" s="9"/>
      <c r="C625" s="9"/>
      <c r="D625" s="9"/>
      <c r="E625" s="9"/>
      <c r="F625" s="9"/>
      <c r="G625" s="9"/>
    </row>
    <row r="626">
      <c r="A626" s="8"/>
      <c r="B626" s="9"/>
      <c r="C626" s="9"/>
      <c r="D626" s="9"/>
      <c r="E626" s="9"/>
      <c r="F626" s="9"/>
      <c r="G626" s="9"/>
    </row>
    <row r="627">
      <c r="A627" s="8"/>
      <c r="B627" s="9"/>
      <c r="C627" s="9"/>
      <c r="D627" s="9"/>
      <c r="E627" s="9"/>
      <c r="F627" s="9"/>
      <c r="G627" s="9"/>
    </row>
    <row r="628">
      <c r="A628" s="8"/>
      <c r="B628" s="9"/>
      <c r="C628" s="9"/>
      <c r="D628" s="9"/>
      <c r="E628" s="9"/>
      <c r="F628" s="9"/>
      <c r="G628" s="9"/>
    </row>
    <row r="629">
      <c r="A629" s="8"/>
      <c r="B629" s="9"/>
      <c r="C629" s="9"/>
      <c r="D629" s="9"/>
      <c r="E629" s="9"/>
      <c r="F629" s="9"/>
      <c r="G629" s="9"/>
    </row>
    <row r="630">
      <c r="A630" s="8"/>
      <c r="B630" s="9"/>
      <c r="C630" s="9"/>
      <c r="D630" s="9"/>
      <c r="E630" s="9"/>
      <c r="F630" s="9"/>
      <c r="G630" s="9"/>
    </row>
    <row r="631">
      <c r="A631" s="8"/>
      <c r="B631" s="9"/>
      <c r="C631" s="9"/>
      <c r="D631" s="9"/>
      <c r="E631" s="9"/>
      <c r="F631" s="9"/>
      <c r="G631" s="9"/>
    </row>
    <row r="632">
      <c r="A632" s="8"/>
      <c r="B632" s="9"/>
      <c r="C632" s="9"/>
      <c r="D632" s="9"/>
      <c r="E632" s="9"/>
      <c r="F632" s="9"/>
      <c r="G632" s="9"/>
    </row>
    <row r="633">
      <c r="A633" s="8"/>
      <c r="B633" s="9"/>
      <c r="C633" s="9"/>
      <c r="D633" s="9"/>
      <c r="E633" s="9"/>
      <c r="F633" s="9"/>
      <c r="G633" s="9"/>
    </row>
    <row r="634">
      <c r="A634" s="8"/>
      <c r="B634" s="9"/>
      <c r="C634" s="9"/>
      <c r="D634" s="9"/>
      <c r="E634" s="9"/>
      <c r="F634" s="9"/>
      <c r="G634" s="9"/>
    </row>
    <row r="635">
      <c r="A635" s="8"/>
      <c r="B635" s="9"/>
      <c r="C635" s="9"/>
      <c r="D635" s="9"/>
      <c r="E635" s="9"/>
      <c r="F635" s="9"/>
      <c r="G635" s="9"/>
    </row>
    <row r="636">
      <c r="A636" s="8"/>
      <c r="B636" s="9"/>
      <c r="C636" s="9"/>
      <c r="D636" s="9"/>
      <c r="E636" s="9"/>
      <c r="F636" s="9"/>
      <c r="G636" s="9"/>
    </row>
    <row r="637">
      <c r="A637" s="8"/>
      <c r="B637" s="9"/>
      <c r="C637" s="9"/>
      <c r="D637" s="9"/>
      <c r="E637" s="9"/>
      <c r="F637" s="9"/>
      <c r="G637" s="9"/>
    </row>
    <row r="638">
      <c r="A638" s="8"/>
      <c r="B638" s="9"/>
      <c r="C638" s="9"/>
      <c r="D638" s="9"/>
      <c r="E638" s="9"/>
      <c r="F638" s="9"/>
      <c r="G638" s="9"/>
    </row>
    <row r="639">
      <c r="A639" s="8"/>
      <c r="B639" s="9"/>
      <c r="C639" s="9"/>
      <c r="D639" s="9"/>
      <c r="E639" s="9"/>
      <c r="F639" s="9"/>
      <c r="G639" s="9"/>
    </row>
    <row r="640">
      <c r="A640" s="8"/>
      <c r="B640" s="9"/>
      <c r="C640" s="9"/>
      <c r="D640" s="9"/>
      <c r="E640" s="9"/>
      <c r="F640" s="9"/>
      <c r="G640" s="9"/>
    </row>
    <row r="641">
      <c r="A641" s="8"/>
      <c r="B641" s="9"/>
      <c r="C641" s="9"/>
      <c r="D641" s="9"/>
      <c r="E641" s="9"/>
      <c r="F641" s="9"/>
      <c r="G641" s="9"/>
    </row>
    <row r="642">
      <c r="A642" s="8"/>
      <c r="B642" s="9"/>
      <c r="C642" s="9"/>
      <c r="D642" s="9"/>
      <c r="E642" s="9"/>
      <c r="F642" s="9"/>
      <c r="G642" s="9"/>
    </row>
    <row r="643">
      <c r="A643" s="8"/>
      <c r="B643" s="9"/>
      <c r="C643" s="9"/>
      <c r="D643" s="9"/>
      <c r="E643" s="9"/>
      <c r="F643" s="9"/>
      <c r="G643" s="9"/>
    </row>
    <row r="644">
      <c r="A644" s="8"/>
      <c r="B644" s="9"/>
      <c r="C644" s="9"/>
      <c r="D644" s="9"/>
      <c r="E644" s="9"/>
      <c r="F644" s="9"/>
      <c r="G644" s="9"/>
    </row>
    <row r="645">
      <c r="A645" s="8"/>
      <c r="B645" s="9"/>
      <c r="C645" s="9"/>
      <c r="D645" s="9"/>
      <c r="E645" s="9"/>
      <c r="F645" s="9"/>
      <c r="G645" s="9"/>
    </row>
    <row r="646">
      <c r="A646" s="8"/>
      <c r="B646" s="9"/>
      <c r="C646" s="9"/>
      <c r="D646" s="9"/>
      <c r="E646" s="9"/>
      <c r="F646" s="9"/>
      <c r="G646" s="9"/>
    </row>
    <row r="647">
      <c r="A647" s="8"/>
      <c r="B647" s="9"/>
      <c r="C647" s="9"/>
      <c r="D647" s="9"/>
      <c r="E647" s="9"/>
      <c r="F647" s="9"/>
      <c r="G647" s="9"/>
    </row>
    <row r="648">
      <c r="A648" s="8"/>
      <c r="B648" s="9"/>
      <c r="C648" s="9"/>
      <c r="D648" s="9"/>
      <c r="E648" s="9"/>
      <c r="F648" s="9"/>
      <c r="G648" s="9"/>
    </row>
    <row r="649">
      <c r="A649" s="8"/>
      <c r="B649" s="9"/>
      <c r="C649" s="9"/>
      <c r="D649" s="9"/>
      <c r="E649" s="9"/>
      <c r="F649" s="9"/>
      <c r="G649" s="9"/>
    </row>
    <row r="650">
      <c r="A650" s="8"/>
      <c r="B650" s="9"/>
      <c r="C650" s="9"/>
      <c r="D650" s="9"/>
      <c r="E650" s="9"/>
      <c r="F650" s="9"/>
      <c r="G650" s="9"/>
    </row>
    <row r="651">
      <c r="A651" s="8"/>
      <c r="B651" s="9"/>
      <c r="C651" s="9"/>
      <c r="D651" s="9"/>
      <c r="E651" s="9"/>
      <c r="F651" s="9"/>
      <c r="G651" s="9"/>
    </row>
    <row r="652">
      <c r="A652" s="8"/>
      <c r="B652" s="9"/>
      <c r="C652" s="9"/>
      <c r="D652" s="9"/>
      <c r="E652" s="9"/>
      <c r="F652" s="9"/>
      <c r="G652" s="9"/>
    </row>
    <row r="653">
      <c r="A653" s="8"/>
      <c r="B653" s="9"/>
      <c r="C653" s="9"/>
      <c r="D653" s="9"/>
      <c r="E653" s="9"/>
      <c r="F653" s="9"/>
      <c r="G653" s="9"/>
    </row>
    <row r="654">
      <c r="A654" s="8"/>
      <c r="B654" s="9"/>
      <c r="C654" s="9"/>
      <c r="D654" s="9"/>
      <c r="E654" s="9"/>
      <c r="F654" s="9"/>
      <c r="G654" s="9"/>
    </row>
    <row r="655">
      <c r="A655" s="8"/>
      <c r="B655" s="9"/>
      <c r="C655" s="9"/>
      <c r="D655" s="9"/>
      <c r="E655" s="9"/>
      <c r="F655" s="9"/>
      <c r="G655" s="9"/>
    </row>
    <row r="656">
      <c r="A656" s="8"/>
      <c r="B656" s="9"/>
      <c r="C656" s="9"/>
      <c r="D656" s="9"/>
      <c r="E656" s="9"/>
      <c r="F656" s="9"/>
      <c r="G656" s="9"/>
    </row>
    <row r="657">
      <c r="A657" s="8"/>
      <c r="B657" s="9"/>
      <c r="C657" s="9"/>
      <c r="D657" s="9"/>
      <c r="E657" s="9"/>
      <c r="F657" s="9"/>
      <c r="G657" s="9"/>
    </row>
    <row r="658">
      <c r="A658" s="8"/>
      <c r="B658" s="9"/>
      <c r="C658" s="9"/>
      <c r="D658" s="9"/>
      <c r="E658" s="9"/>
      <c r="F658" s="9"/>
      <c r="G658" s="9"/>
    </row>
    <row r="659">
      <c r="A659" s="8"/>
      <c r="B659" s="9"/>
      <c r="C659" s="9"/>
      <c r="D659" s="9"/>
      <c r="E659" s="9"/>
      <c r="F659" s="9"/>
      <c r="G659" s="9"/>
    </row>
    <row r="660">
      <c r="A660" s="8"/>
      <c r="B660" s="9"/>
      <c r="C660" s="9"/>
      <c r="D660" s="9"/>
      <c r="E660" s="9"/>
      <c r="F660" s="9"/>
      <c r="G660" s="9"/>
    </row>
    <row r="661">
      <c r="A661" s="8"/>
      <c r="B661" s="9"/>
      <c r="C661" s="9"/>
      <c r="D661" s="9"/>
      <c r="E661" s="9"/>
      <c r="F661" s="9"/>
      <c r="G661" s="9"/>
    </row>
    <row r="662">
      <c r="A662" s="8"/>
      <c r="B662" s="9"/>
      <c r="C662" s="9"/>
      <c r="D662" s="9"/>
      <c r="E662" s="9"/>
      <c r="F662" s="9"/>
      <c r="G662" s="9"/>
    </row>
    <row r="663">
      <c r="A663" s="8"/>
      <c r="B663" s="9"/>
      <c r="C663" s="9"/>
      <c r="D663" s="9"/>
      <c r="E663" s="9"/>
      <c r="F663" s="9"/>
      <c r="G663" s="9"/>
    </row>
    <row r="664">
      <c r="A664" s="8"/>
      <c r="B664" s="9"/>
      <c r="C664" s="9"/>
      <c r="D664" s="9"/>
      <c r="E664" s="9"/>
      <c r="F664" s="9"/>
      <c r="G664" s="9"/>
    </row>
    <row r="665">
      <c r="A665" s="8"/>
      <c r="B665" s="9"/>
      <c r="C665" s="9"/>
      <c r="D665" s="9"/>
      <c r="E665" s="9"/>
      <c r="F665" s="9"/>
      <c r="G665" s="9"/>
    </row>
    <row r="666">
      <c r="A666" s="8"/>
      <c r="B666" s="9"/>
      <c r="C666" s="9"/>
      <c r="D666" s="9"/>
      <c r="E666" s="9"/>
      <c r="F666" s="9"/>
      <c r="G666" s="9"/>
    </row>
    <row r="667">
      <c r="A667" s="8"/>
      <c r="B667" s="9"/>
      <c r="C667" s="9"/>
      <c r="D667" s="9"/>
      <c r="E667" s="9"/>
      <c r="F667" s="9"/>
      <c r="G667" s="9"/>
    </row>
    <row r="668">
      <c r="A668" s="8"/>
      <c r="B668" s="9"/>
      <c r="C668" s="9"/>
      <c r="D668" s="9"/>
      <c r="E668" s="9"/>
      <c r="F668" s="9"/>
      <c r="G668" s="9"/>
    </row>
    <row r="669">
      <c r="A669" s="8"/>
      <c r="B669" s="9"/>
      <c r="C669" s="9"/>
      <c r="D669" s="9"/>
      <c r="E669" s="9"/>
      <c r="F669" s="9"/>
      <c r="G669" s="9"/>
    </row>
    <row r="670">
      <c r="A670" s="8"/>
      <c r="B670" s="9"/>
      <c r="C670" s="9"/>
      <c r="D670" s="9"/>
      <c r="E670" s="9"/>
      <c r="F670" s="9"/>
      <c r="G670" s="9"/>
    </row>
    <row r="671">
      <c r="A671" s="8"/>
      <c r="B671" s="9"/>
      <c r="C671" s="9"/>
      <c r="D671" s="9"/>
      <c r="E671" s="9"/>
      <c r="F671" s="9"/>
      <c r="G671" s="9"/>
    </row>
    <row r="672">
      <c r="A672" s="8"/>
      <c r="B672" s="9"/>
      <c r="C672" s="9"/>
      <c r="D672" s="9"/>
      <c r="E672" s="9"/>
      <c r="F672" s="9"/>
      <c r="G672" s="9"/>
    </row>
    <row r="673">
      <c r="A673" s="8"/>
      <c r="B673" s="9"/>
      <c r="C673" s="9"/>
      <c r="D673" s="9"/>
      <c r="E673" s="9"/>
      <c r="F673" s="9"/>
      <c r="G673" s="9"/>
    </row>
    <row r="674">
      <c r="A674" s="8"/>
      <c r="B674" s="9"/>
      <c r="C674" s="9"/>
      <c r="D674" s="9"/>
      <c r="E674" s="9"/>
      <c r="F674" s="9"/>
      <c r="G674" s="9"/>
    </row>
    <row r="675">
      <c r="A675" s="8"/>
      <c r="B675" s="9"/>
      <c r="C675" s="9"/>
      <c r="D675" s="9"/>
      <c r="E675" s="9"/>
      <c r="F675" s="9"/>
      <c r="G675" s="9"/>
    </row>
    <row r="676">
      <c r="A676" s="8"/>
      <c r="B676" s="9"/>
      <c r="C676" s="9"/>
      <c r="D676" s="9"/>
      <c r="E676" s="9"/>
      <c r="F676" s="9"/>
      <c r="G676" s="9"/>
    </row>
    <row r="677">
      <c r="A677" s="8"/>
      <c r="B677" s="9"/>
      <c r="C677" s="9"/>
      <c r="D677" s="9"/>
      <c r="E677" s="9"/>
      <c r="F677" s="9"/>
      <c r="G677" s="9"/>
    </row>
    <row r="678">
      <c r="A678" s="8"/>
      <c r="B678" s="9"/>
      <c r="C678" s="9"/>
      <c r="D678" s="9"/>
      <c r="E678" s="9"/>
      <c r="F678" s="9"/>
      <c r="G678" s="9"/>
    </row>
    <row r="679">
      <c r="A679" s="8"/>
      <c r="B679" s="9"/>
      <c r="C679" s="9"/>
      <c r="D679" s="9"/>
      <c r="E679" s="9"/>
      <c r="F679" s="9"/>
      <c r="G679" s="9"/>
    </row>
    <row r="680">
      <c r="A680" s="8"/>
      <c r="B680" s="9"/>
      <c r="C680" s="9"/>
      <c r="D680" s="9"/>
      <c r="E680" s="9"/>
      <c r="F680" s="9"/>
      <c r="G680" s="9"/>
    </row>
    <row r="681">
      <c r="A681" s="8"/>
      <c r="B681" s="9"/>
      <c r="C681" s="9"/>
      <c r="D681" s="9"/>
      <c r="E681" s="9"/>
      <c r="F681" s="9"/>
      <c r="G681" s="9"/>
    </row>
    <row r="682">
      <c r="A682" s="8"/>
      <c r="B682" s="9"/>
      <c r="C682" s="9"/>
      <c r="D682" s="9"/>
      <c r="E682" s="9"/>
      <c r="F682" s="9"/>
      <c r="G682" s="9"/>
    </row>
    <row r="683">
      <c r="A683" s="8"/>
      <c r="B683" s="9"/>
      <c r="C683" s="9"/>
      <c r="D683" s="9"/>
      <c r="E683" s="9"/>
      <c r="F683" s="9"/>
      <c r="G683" s="9"/>
    </row>
    <row r="684">
      <c r="A684" s="8"/>
      <c r="B684" s="9"/>
      <c r="C684" s="9"/>
      <c r="D684" s="9"/>
      <c r="E684" s="9"/>
      <c r="F684" s="9"/>
      <c r="G684" s="9"/>
    </row>
    <row r="685">
      <c r="A685" s="8"/>
      <c r="B685" s="9"/>
      <c r="C685" s="9"/>
      <c r="D685" s="9"/>
      <c r="E685" s="9"/>
      <c r="F685" s="9"/>
      <c r="G685" s="9"/>
    </row>
    <row r="686">
      <c r="A686" s="8"/>
      <c r="B686" s="9"/>
      <c r="C686" s="9"/>
      <c r="D686" s="9"/>
      <c r="E686" s="9"/>
      <c r="F686" s="9"/>
      <c r="G686" s="9"/>
    </row>
    <row r="687">
      <c r="A687" s="8"/>
      <c r="B687" s="9"/>
      <c r="C687" s="9"/>
      <c r="D687" s="9"/>
      <c r="E687" s="9"/>
      <c r="F687" s="9"/>
      <c r="G687" s="9"/>
    </row>
    <row r="688">
      <c r="A688" s="8"/>
      <c r="B688" s="9"/>
      <c r="C688" s="9"/>
      <c r="D688" s="9"/>
      <c r="E688" s="9"/>
      <c r="F688" s="9"/>
      <c r="G688" s="9"/>
    </row>
    <row r="689">
      <c r="A689" s="8"/>
      <c r="B689" s="9"/>
      <c r="C689" s="9"/>
      <c r="D689" s="9"/>
      <c r="E689" s="9"/>
      <c r="F689" s="9"/>
      <c r="G689" s="9"/>
    </row>
    <row r="690">
      <c r="A690" s="8"/>
      <c r="B690" s="9"/>
      <c r="C690" s="9"/>
      <c r="D690" s="9"/>
      <c r="E690" s="9"/>
      <c r="F690" s="9"/>
      <c r="G690" s="9"/>
    </row>
    <row r="691">
      <c r="A691" s="8"/>
      <c r="B691" s="9"/>
      <c r="C691" s="9"/>
      <c r="D691" s="9"/>
      <c r="E691" s="9"/>
      <c r="F691" s="9"/>
      <c r="G691" s="9"/>
    </row>
    <row r="692">
      <c r="A692" s="8"/>
      <c r="B692" s="9"/>
      <c r="C692" s="9"/>
      <c r="D692" s="9"/>
      <c r="E692" s="9"/>
      <c r="F692" s="9"/>
      <c r="G692" s="9"/>
    </row>
    <row r="693">
      <c r="A693" s="8"/>
      <c r="B693" s="9"/>
      <c r="C693" s="9"/>
      <c r="D693" s="9"/>
      <c r="E693" s="9"/>
      <c r="F693" s="9"/>
      <c r="G693" s="9"/>
    </row>
    <row r="694">
      <c r="A694" s="8"/>
      <c r="B694" s="9"/>
      <c r="C694" s="9"/>
      <c r="D694" s="9"/>
      <c r="E694" s="9"/>
      <c r="F694" s="9"/>
      <c r="G694" s="9"/>
    </row>
    <row r="695">
      <c r="A695" s="8"/>
      <c r="B695" s="9"/>
      <c r="C695" s="9"/>
      <c r="D695" s="9"/>
      <c r="E695" s="9"/>
      <c r="F695" s="9"/>
      <c r="G695" s="9"/>
    </row>
    <row r="696">
      <c r="A696" s="8"/>
      <c r="B696" s="9"/>
      <c r="C696" s="9"/>
      <c r="D696" s="9"/>
      <c r="E696" s="9"/>
      <c r="F696" s="9"/>
      <c r="G696" s="9"/>
    </row>
    <row r="697">
      <c r="A697" s="8"/>
      <c r="B697" s="9"/>
      <c r="C697" s="9"/>
      <c r="D697" s="9"/>
      <c r="E697" s="9"/>
      <c r="F697" s="9"/>
      <c r="G697" s="9"/>
    </row>
    <row r="698">
      <c r="A698" s="8"/>
      <c r="B698" s="9"/>
      <c r="C698" s="9"/>
      <c r="D698" s="9"/>
      <c r="E698" s="9"/>
      <c r="F698" s="9"/>
      <c r="G698" s="9"/>
    </row>
    <row r="699">
      <c r="A699" s="8"/>
      <c r="B699" s="9"/>
      <c r="C699" s="9"/>
      <c r="D699" s="9"/>
      <c r="E699" s="9"/>
      <c r="F699" s="9"/>
      <c r="G699" s="9"/>
    </row>
    <row r="700">
      <c r="A700" s="8"/>
      <c r="B700" s="9"/>
      <c r="C700" s="9"/>
      <c r="D700" s="9"/>
      <c r="E700" s="9"/>
      <c r="F700" s="9"/>
      <c r="G700" s="9"/>
    </row>
    <row r="701">
      <c r="A701" s="8"/>
      <c r="B701" s="9"/>
      <c r="C701" s="9"/>
      <c r="D701" s="9"/>
      <c r="E701" s="9"/>
      <c r="F701" s="9"/>
      <c r="G701" s="9"/>
    </row>
    <row r="702">
      <c r="A702" s="8"/>
      <c r="B702" s="9"/>
      <c r="C702" s="9"/>
      <c r="D702" s="9"/>
      <c r="E702" s="9"/>
      <c r="F702" s="9"/>
      <c r="G702" s="9"/>
    </row>
    <row r="703">
      <c r="A703" s="8"/>
      <c r="B703" s="9"/>
      <c r="C703" s="9"/>
      <c r="D703" s="9"/>
      <c r="E703" s="9"/>
      <c r="F703" s="9"/>
      <c r="G703" s="9"/>
    </row>
    <row r="704">
      <c r="A704" s="8"/>
      <c r="B704" s="9"/>
      <c r="C704" s="9"/>
      <c r="D704" s="9"/>
      <c r="E704" s="9"/>
      <c r="F704" s="9"/>
      <c r="G704" s="9"/>
    </row>
    <row r="705">
      <c r="A705" s="8"/>
      <c r="B705" s="9"/>
      <c r="C705" s="9"/>
      <c r="D705" s="9"/>
      <c r="E705" s="9"/>
      <c r="F705" s="9"/>
      <c r="G705" s="9"/>
    </row>
    <row r="706">
      <c r="A706" s="8"/>
      <c r="B706" s="9"/>
      <c r="C706" s="9"/>
      <c r="D706" s="9"/>
      <c r="E706" s="9"/>
      <c r="F706" s="9"/>
      <c r="G706" s="9"/>
    </row>
    <row r="707">
      <c r="A707" s="8"/>
      <c r="B707" s="9"/>
      <c r="C707" s="9"/>
      <c r="D707" s="9"/>
      <c r="E707" s="9"/>
      <c r="F707" s="9"/>
      <c r="G707" s="9"/>
    </row>
    <row r="708">
      <c r="A708" s="8"/>
      <c r="B708" s="9"/>
      <c r="C708" s="9"/>
      <c r="D708" s="9"/>
      <c r="E708" s="9"/>
      <c r="F708" s="9"/>
      <c r="G708" s="9"/>
    </row>
    <row r="709">
      <c r="A709" s="8"/>
      <c r="B709" s="9"/>
      <c r="C709" s="9"/>
      <c r="D709" s="9"/>
      <c r="E709" s="9"/>
      <c r="F709" s="9"/>
      <c r="G709" s="9"/>
    </row>
    <row r="710">
      <c r="A710" s="8"/>
      <c r="B710" s="9"/>
      <c r="C710" s="9"/>
      <c r="D710" s="9"/>
      <c r="E710" s="9"/>
      <c r="F710" s="9"/>
      <c r="G710" s="9"/>
    </row>
    <row r="711">
      <c r="A711" s="8"/>
      <c r="B711" s="9"/>
      <c r="C711" s="9"/>
      <c r="D711" s="9"/>
      <c r="E711" s="9"/>
      <c r="F711" s="9"/>
      <c r="G711" s="9"/>
    </row>
    <row r="712">
      <c r="A712" s="8"/>
      <c r="B712" s="9"/>
      <c r="C712" s="9"/>
      <c r="D712" s="9"/>
      <c r="E712" s="9"/>
      <c r="F712" s="9"/>
      <c r="G712" s="9"/>
    </row>
    <row r="713">
      <c r="A713" s="8"/>
      <c r="B713" s="9"/>
      <c r="C713" s="9"/>
      <c r="D713" s="9"/>
      <c r="E713" s="9"/>
      <c r="F713" s="9"/>
      <c r="G713" s="9"/>
    </row>
    <row r="714">
      <c r="A714" s="8"/>
      <c r="B714" s="9"/>
      <c r="C714" s="9"/>
      <c r="D714" s="9"/>
      <c r="E714" s="9"/>
      <c r="F714" s="9"/>
      <c r="G714" s="9"/>
    </row>
    <row r="715">
      <c r="A715" s="8"/>
      <c r="B715" s="9"/>
      <c r="C715" s="9"/>
      <c r="D715" s="9"/>
      <c r="E715" s="9"/>
      <c r="F715" s="9"/>
      <c r="G715" s="9"/>
    </row>
    <row r="716">
      <c r="A716" s="8"/>
      <c r="B716" s="9"/>
      <c r="C716" s="9"/>
      <c r="D716" s="9"/>
      <c r="E716" s="9"/>
      <c r="F716" s="9"/>
      <c r="G716" s="9"/>
    </row>
    <row r="717">
      <c r="A717" s="8"/>
      <c r="B717" s="9"/>
      <c r="C717" s="9"/>
      <c r="D717" s="9"/>
      <c r="E717" s="9"/>
      <c r="F717" s="9"/>
      <c r="G717" s="9"/>
    </row>
    <row r="718">
      <c r="A718" s="8"/>
      <c r="B718" s="9"/>
      <c r="C718" s="9"/>
      <c r="D718" s="9"/>
      <c r="E718" s="9"/>
      <c r="F718" s="9"/>
      <c r="G718" s="9"/>
    </row>
    <row r="719">
      <c r="A719" s="8"/>
      <c r="B719" s="9"/>
      <c r="C719" s="9"/>
      <c r="D719" s="9"/>
      <c r="E719" s="9"/>
      <c r="F719" s="9"/>
      <c r="G719" s="9"/>
    </row>
    <row r="720">
      <c r="A720" s="8"/>
      <c r="B720" s="9"/>
      <c r="C720" s="9"/>
      <c r="D720" s="9"/>
      <c r="E720" s="9"/>
      <c r="F720" s="9"/>
      <c r="G720" s="9"/>
    </row>
    <row r="721">
      <c r="A721" s="8"/>
      <c r="B721" s="9"/>
      <c r="C721" s="9"/>
      <c r="D721" s="9"/>
      <c r="E721" s="9"/>
      <c r="F721" s="9"/>
      <c r="G721" s="9"/>
    </row>
    <row r="722">
      <c r="A722" s="8"/>
      <c r="B722" s="9"/>
      <c r="C722" s="9"/>
      <c r="D722" s="9"/>
      <c r="E722" s="9"/>
      <c r="F722" s="9"/>
      <c r="G722" s="9"/>
    </row>
    <row r="723">
      <c r="A723" s="8"/>
      <c r="B723" s="9"/>
      <c r="C723" s="9"/>
      <c r="D723" s="9"/>
      <c r="E723" s="9"/>
      <c r="F723" s="9"/>
      <c r="G723" s="9"/>
    </row>
    <row r="724">
      <c r="A724" s="8"/>
      <c r="B724" s="9"/>
      <c r="C724" s="9"/>
      <c r="D724" s="9"/>
      <c r="E724" s="9"/>
      <c r="F724" s="9"/>
      <c r="G724" s="9"/>
    </row>
    <row r="725">
      <c r="A725" s="8"/>
      <c r="B725" s="9"/>
      <c r="C725" s="9"/>
      <c r="D725" s="9"/>
      <c r="E725" s="9"/>
      <c r="F725" s="9"/>
      <c r="G725" s="9"/>
    </row>
    <row r="726">
      <c r="A726" s="8"/>
      <c r="B726" s="9"/>
      <c r="C726" s="9"/>
      <c r="D726" s="9"/>
      <c r="E726" s="9"/>
      <c r="F726" s="9"/>
      <c r="G726" s="9"/>
    </row>
    <row r="727">
      <c r="A727" s="8"/>
      <c r="B727" s="9"/>
      <c r="C727" s="9"/>
      <c r="D727" s="9"/>
      <c r="E727" s="9"/>
      <c r="F727" s="9"/>
      <c r="G727" s="9"/>
    </row>
    <row r="728">
      <c r="A728" s="8"/>
      <c r="B728" s="9"/>
      <c r="C728" s="9"/>
      <c r="D728" s="9"/>
      <c r="E728" s="9"/>
      <c r="F728" s="9"/>
      <c r="G728" s="9"/>
    </row>
    <row r="729">
      <c r="A729" s="8"/>
      <c r="B729" s="9"/>
      <c r="C729" s="9"/>
      <c r="D729" s="9"/>
      <c r="E729" s="9"/>
      <c r="F729" s="9"/>
      <c r="G729" s="9"/>
    </row>
    <row r="730">
      <c r="A730" s="8"/>
      <c r="B730" s="9"/>
      <c r="C730" s="9"/>
      <c r="D730" s="9"/>
      <c r="E730" s="9"/>
      <c r="F730" s="9"/>
      <c r="G730" s="9"/>
    </row>
    <row r="731">
      <c r="A731" s="8"/>
      <c r="B731" s="9"/>
      <c r="C731" s="9"/>
      <c r="D731" s="9"/>
      <c r="E731" s="9"/>
      <c r="F731" s="9"/>
      <c r="G731" s="9"/>
    </row>
    <row r="732">
      <c r="A732" s="8"/>
      <c r="B732" s="9"/>
      <c r="C732" s="9"/>
      <c r="D732" s="9"/>
      <c r="E732" s="9"/>
      <c r="F732" s="9"/>
      <c r="G732" s="9"/>
    </row>
    <row r="733">
      <c r="A733" s="8"/>
      <c r="B733" s="9"/>
      <c r="C733" s="9"/>
      <c r="D733" s="9"/>
      <c r="E733" s="9"/>
      <c r="F733" s="9"/>
      <c r="G733" s="9"/>
    </row>
    <row r="734">
      <c r="A734" s="8"/>
      <c r="B734" s="9"/>
      <c r="C734" s="9"/>
      <c r="D734" s="9"/>
      <c r="E734" s="9"/>
      <c r="F734" s="9"/>
      <c r="G734" s="9"/>
    </row>
    <row r="735">
      <c r="A735" s="8"/>
      <c r="B735" s="9"/>
      <c r="C735" s="9"/>
      <c r="D735" s="9"/>
      <c r="E735" s="9"/>
      <c r="F735" s="9"/>
      <c r="G735" s="9"/>
    </row>
    <row r="736">
      <c r="A736" s="8"/>
      <c r="B736" s="9"/>
      <c r="C736" s="9"/>
      <c r="D736" s="9"/>
      <c r="E736" s="9"/>
      <c r="F736" s="9"/>
      <c r="G736" s="9"/>
    </row>
    <row r="737">
      <c r="A737" s="8"/>
      <c r="B737" s="9"/>
      <c r="C737" s="9"/>
      <c r="D737" s="9"/>
      <c r="E737" s="9"/>
      <c r="F737" s="9"/>
      <c r="G737" s="9"/>
    </row>
    <row r="738">
      <c r="A738" s="8"/>
      <c r="B738" s="9"/>
      <c r="C738" s="9"/>
      <c r="D738" s="9"/>
      <c r="E738" s="9"/>
      <c r="F738" s="9"/>
      <c r="G738" s="9"/>
    </row>
    <row r="739">
      <c r="A739" s="8"/>
      <c r="B739" s="9"/>
      <c r="C739" s="9"/>
      <c r="D739" s="9"/>
      <c r="E739" s="9"/>
      <c r="F739" s="9"/>
      <c r="G739" s="9"/>
    </row>
    <row r="740">
      <c r="A740" s="8"/>
      <c r="B740" s="9"/>
      <c r="C740" s="9"/>
      <c r="D740" s="9"/>
      <c r="E740" s="9"/>
      <c r="F740" s="9"/>
      <c r="G740" s="9"/>
    </row>
    <row r="741">
      <c r="A741" s="8"/>
      <c r="B741" s="9"/>
      <c r="C741" s="9"/>
      <c r="D741" s="9"/>
      <c r="E741" s="9"/>
      <c r="F741" s="9"/>
      <c r="G741" s="9"/>
    </row>
    <row r="742">
      <c r="A742" s="8"/>
      <c r="B742" s="9"/>
      <c r="C742" s="9"/>
      <c r="D742" s="9"/>
      <c r="E742" s="9"/>
      <c r="F742" s="9"/>
      <c r="G742" s="9"/>
    </row>
    <row r="743">
      <c r="A743" s="8"/>
      <c r="B743" s="9"/>
      <c r="C743" s="9"/>
      <c r="D743" s="9"/>
      <c r="E743" s="9"/>
      <c r="F743" s="9"/>
      <c r="G743" s="9"/>
    </row>
    <row r="744">
      <c r="A744" s="8"/>
      <c r="B744" s="9"/>
      <c r="C744" s="9"/>
      <c r="D744" s="9"/>
      <c r="E744" s="9"/>
      <c r="F744" s="9"/>
      <c r="G744" s="9"/>
    </row>
    <row r="745">
      <c r="A745" s="8"/>
      <c r="B745" s="9"/>
      <c r="C745" s="9"/>
      <c r="D745" s="9"/>
      <c r="E745" s="9"/>
      <c r="F745" s="9"/>
      <c r="G745" s="9"/>
    </row>
    <row r="746">
      <c r="A746" s="8"/>
      <c r="B746" s="9"/>
      <c r="C746" s="9"/>
      <c r="D746" s="9"/>
      <c r="E746" s="9"/>
      <c r="F746" s="9"/>
      <c r="G746" s="9"/>
    </row>
    <row r="747">
      <c r="A747" s="8"/>
      <c r="B747" s="9"/>
      <c r="C747" s="9"/>
      <c r="D747" s="9"/>
      <c r="E747" s="9"/>
      <c r="F747" s="9"/>
      <c r="G747" s="9"/>
    </row>
    <row r="748">
      <c r="A748" s="8"/>
      <c r="B748" s="9"/>
      <c r="C748" s="9"/>
      <c r="D748" s="9"/>
      <c r="E748" s="9"/>
      <c r="F748" s="9"/>
      <c r="G748" s="9"/>
    </row>
    <row r="749">
      <c r="A749" s="8"/>
      <c r="B749" s="9"/>
      <c r="C749" s="9"/>
      <c r="D749" s="9"/>
      <c r="E749" s="9"/>
      <c r="F749" s="9"/>
      <c r="G749" s="9"/>
    </row>
    <row r="750">
      <c r="A750" s="8"/>
      <c r="B750" s="9"/>
      <c r="C750" s="9"/>
      <c r="D750" s="9"/>
      <c r="E750" s="9"/>
      <c r="F750" s="9"/>
      <c r="G750" s="9"/>
    </row>
    <row r="751">
      <c r="A751" s="8"/>
      <c r="B751" s="9"/>
      <c r="C751" s="9"/>
      <c r="D751" s="9"/>
      <c r="E751" s="9"/>
      <c r="F751" s="9"/>
      <c r="G751" s="9"/>
    </row>
    <row r="752">
      <c r="A752" s="8"/>
      <c r="B752" s="9"/>
      <c r="C752" s="9"/>
      <c r="D752" s="9"/>
      <c r="E752" s="9"/>
      <c r="F752" s="9"/>
      <c r="G752" s="9"/>
    </row>
    <row r="753">
      <c r="A753" s="8"/>
      <c r="B753" s="9"/>
      <c r="C753" s="9"/>
      <c r="D753" s="9"/>
      <c r="E753" s="9"/>
      <c r="F753" s="9"/>
      <c r="G753" s="9"/>
    </row>
    <row r="754">
      <c r="A754" s="8"/>
      <c r="B754" s="9"/>
      <c r="C754" s="9"/>
      <c r="D754" s="9"/>
      <c r="E754" s="9"/>
      <c r="F754" s="9"/>
      <c r="G754" s="9"/>
    </row>
    <row r="755">
      <c r="A755" s="8"/>
      <c r="B755" s="9"/>
      <c r="C755" s="9"/>
      <c r="D755" s="9"/>
      <c r="E755" s="9"/>
      <c r="F755" s="9"/>
      <c r="G755" s="9"/>
    </row>
    <row r="756">
      <c r="A756" s="8"/>
      <c r="B756" s="9"/>
      <c r="C756" s="9"/>
      <c r="D756" s="9"/>
      <c r="E756" s="9"/>
      <c r="F756" s="9"/>
      <c r="G756" s="9"/>
    </row>
    <row r="757">
      <c r="A757" s="8"/>
      <c r="B757" s="9"/>
      <c r="C757" s="9"/>
      <c r="D757" s="9"/>
      <c r="E757" s="9"/>
      <c r="F757" s="9"/>
      <c r="G757" s="9"/>
    </row>
    <row r="758">
      <c r="A758" s="8"/>
      <c r="B758" s="9"/>
      <c r="C758" s="9"/>
      <c r="D758" s="9"/>
      <c r="E758" s="9"/>
      <c r="F758" s="9"/>
      <c r="G758" s="9"/>
    </row>
    <row r="759">
      <c r="A759" s="8"/>
      <c r="B759" s="9"/>
      <c r="C759" s="9"/>
      <c r="D759" s="9"/>
      <c r="E759" s="9"/>
      <c r="F759" s="9"/>
      <c r="G759" s="9"/>
    </row>
    <row r="760">
      <c r="A760" s="8"/>
      <c r="B760" s="9"/>
      <c r="C760" s="9"/>
      <c r="D760" s="9"/>
      <c r="E760" s="9"/>
      <c r="F760" s="9"/>
      <c r="G760" s="9"/>
    </row>
    <row r="761">
      <c r="A761" s="8"/>
      <c r="B761" s="9"/>
      <c r="C761" s="9"/>
      <c r="D761" s="9"/>
      <c r="E761" s="9"/>
      <c r="F761" s="9"/>
      <c r="G761" s="9"/>
    </row>
    <row r="762">
      <c r="A762" s="8"/>
      <c r="B762" s="9"/>
      <c r="C762" s="9"/>
      <c r="D762" s="9"/>
      <c r="E762" s="9"/>
      <c r="F762" s="9"/>
      <c r="G762" s="9"/>
    </row>
    <row r="763">
      <c r="A763" s="8"/>
      <c r="B763" s="9"/>
      <c r="C763" s="9"/>
      <c r="D763" s="9"/>
      <c r="E763" s="9"/>
      <c r="F763" s="9"/>
      <c r="G763" s="9"/>
    </row>
    <row r="764">
      <c r="A764" s="8"/>
      <c r="B764" s="9"/>
      <c r="C764" s="9"/>
      <c r="D764" s="9"/>
      <c r="E764" s="9"/>
      <c r="F764" s="9"/>
      <c r="G764" s="9"/>
    </row>
    <row r="765">
      <c r="A765" s="8"/>
      <c r="B765" s="9"/>
      <c r="C765" s="9"/>
      <c r="D765" s="9"/>
      <c r="E765" s="9"/>
      <c r="F765" s="9"/>
      <c r="G765" s="9"/>
    </row>
    <row r="766">
      <c r="A766" s="8"/>
      <c r="B766" s="9"/>
      <c r="C766" s="9"/>
      <c r="D766" s="9"/>
      <c r="E766" s="9"/>
      <c r="F766" s="9"/>
      <c r="G766" s="9"/>
    </row>
    <row r="767">
      <c r="A767" s="8"/>
      <c r="B767" s="9"/>
      <c r="C767" s="9"/>
      <c r="D767" s="9"/>
      <c r="E767" s="9"/>
      <c r="F767" s="9"/>
      <c r="G767" s="9"/>
    </row>
    <row r="768">
      <c r="A768" s="8"/>
      <c r="B768" s="9"/>
      <c r="C768" s="9"/>
      <c r="D768" s="9"/>
      <c r="E768" s="9"/>
      <c r="F768" s="9"/>
      <c r="G768" s="9"/>
    </row>
    <row r="769">
      <c r="A769" s="8"/>
      <c r="B769" s="9"/>
      <c r="C769" s="9"/>
      <c r="D769" s="9"/>
      <c r="E769" s="9"/>
      <c r="F769" s="9"/>
      <c r="G769" s="9"/>
    </row>
    <row r="770">
      <c r="A770" s="8"/>
      <c r="B770" s="9"/>
      <c r="C770" s="9"/>
      <c r="D770" s="9"/>
      <c r="E770" s="9"/>
      <c r="F770" s="9"/>
      <c r="G770" s="9"/>
    </row>
    <row r="771">
      <c r="A771" s="8"/>
      <c r="B771" s="9"/>
      <c r="C771" s="9"/>
      <c r="D771" s="9"/>
      <c r="E771" s="9"/>
      <c r="F771" s="9"/>
      <c r="G771" s="9"/>
    </row>
    <row r="772">
      <c r="A772" s="8"/>
      <c r="B772" s="9"/>
      <c r="C772" s="9"/>
      <c r="D772" s="9"/>
      <c r="E772" s="9"/>
      <c r="F772" s="9"/>
      <c r="G772" s="9"/>
    </row>
    <row r="773">
      <c r="A773" s="8"/>
      <c r="B773" s="9"/>
      <c r="C773" s="9"/>
      <c r="D773" s="9"/>
      <c r="E773" s="9"/>
      <c r="F773" s="9"/>
      <c r="G773" s="9"/>
    </row>
    <row r="774">
      <c r="A774" s="8"/>
      <c r="B774" s="9"/>
      <c r="C774" s="9"/>
      <c r="D774" s="9"/>
      <c r="E774" s="9"/>
      <c r="F774" s="9"/>
      <c r="G774" s="9"/>
    </row>
    <row r="775">
      <c r="A775" s="8"/>
      <c r="B775" s="9"/>
      <c r="C775" s="9"/>
      <c r="D775" s="9"/>
      <c r="E775" s="9"/>
      <c r="F775" s="9"/>
      <c r="G775" s="9"/>
    </row>
    <row r="776">
      <c r="A776" s="8"/>
      <c r="B776" s="9"/>
      <c r="C776" s="9"/>
      <c r="D776" s="9"/>
      <c r="E776" s="9"/>
      <c r="F776" s="9"/>
      <c r="G776" s="9"/>
    </row>
    <row r="777">
      <c r="A777" s="8"/>
      <c r="B777" s="9"/>
      <c r="C777" s="9"/>
      <c r="D777" s="9"/>
      <c r="E777" s="9"/>
      <c r="F777" s="9"/>
      <c r="G777" s="9"/>
    </row>
    <row r="778">
      <c r="A778" s="8"/>
      <c r="B778" s="9"/>
      <c r="C778" s="9"/>
      <c r="D778" s="9"/>
      <c r="E778" s="9"/>
      <c r="F778" s="9"/>
      <c r="G778" s="9"/>
    </row>
    <row r="779">
      <c r="A779" s="8"/>
      <c r="B779" s="9"/>
      <c r="C779" s="9"/>
      <c r="D779" s="9"/>
      <c r="E779" s="9"/>
      <c r="F779" s="9"/>
      <c r="G779" s="9"/>
    </row>
    <row r="780">
      <c r="A780" s="8"/>
      <c r="B780" s="9"/>
      <c r="C780" s="9"/>
      <c r="D780" s="9"/>
      <c r="E780" s="9"/>
      <c r="F780" s="9"/>
      <c r="G780" s="9"/>
    </row>
    <row r="781">
      <c r="A781" s="8"/>
      <c r="B781" s="9"/>
      <c r="C781" s="9"/>
      <c r="D781" s="9"/>
      <c r="E781" s="9"/>
      <c r="F781" s="9"/>
      <c r="G781" s="9"/>
    </row>
    <row r="782">
      <c r="A782" s="8"/>
      <c r="B782" s="9"/>
      <c r="C782" s="9"/>
      <c r="D782" s="9"/>
      <c r="E782" s="9"/>
      <c r="F782" s="9"/>
      <c r="G782" s="9"/>
    </row>
    <row r="783">
      <c r="A783" s="8"/>
      <c r="B783" s="9"/>
      <c r="C783" s="9"/>
      <c r="D783" s="9"/>
      <c r="E783" s="9"/>
      <c r="F783" s="9"/>
      <c r="G783" s="9"/>
    </row>
    <row r="784">
      <c r="A784" s="8"/>
      <c r="B784" s="9"/>
      <c r="C784" s="9"/>
      <c r="D784" s="9"/>
      <c r="E784" s="9"/>
      <c r="F784" s="9"/>
      <c r="G784" s="9"/>
    </row>
    <row r="785">
      <c r="A785" s="8"/>
      <c r="B785" s="9"/>
      <c r="C785" s="9"/>
      <c r="D785" s="9"/>
      <c r="E785" s="9"/>
      <c r="F785" s="9"/>
      <c r="G785" s="9"/>
    </row>
    <row r="786">
      <c r="A786" s="8"/>
      <c r="B786" s="9"/>
      <c r="C786" s="9"/>
      <c r="D786" s="9"/>
      <c r="E786" s="9"/>
      <c r="F786" s="9"/>
      <c r="G786" s="9"/>
    </row>
    <row r="787">
      <c r="A787" s="8"/>
      <c r="B787" s="9"/>
      <c r="C787" s="9"/>
      <c r="D787" s="9"/>
      <c r="E787" s="9"/>
      <c r="F787" s="9"/>
      <c r="G787" s="9"/>
    </row>
    <row r="788">
      <c r="A788" s="8"/>
      <c r="B788" s="9"/>
      <c r="C788" s="9"/>
      <c r="D788" s="9"/>
      <c r="E788" s="9"/>
      <c r="F788" s="9"/>
      <c r="G788" s="9"/>
    </row>
    <row r="789">
      <c r="A789" s="8"/>
      <c r="B789" s="9"/>
      <c r="C789" s="9"/>
      <c r="D789" s="9"/>
      <c r="E789" s="9"/>
      <c r="F789" s="9"/>
      <c r="G789" s="9"/>
    </row>
    <row r="790">
      <c r="A790" s="8"/>
      <c r="B790" s="9"/>
      <c r="C790" s="9"/>
      <c r="D790" s="9"/>
      <c r="E790" s="9"/>
      <c r="F790" s="9"/>
      <c r="G790" s="9"/>
    </row>
    <row r="791">
      <c r="A791" s="8"/>
      <c r="B791" s="9"/>
      <c r="C791" s="9"/>
      <c r="D791" s="9"/>
      <c r="E791" s="9"/>
      <c r="F791" s="9"/>
      <c r="G791" s="9"/>
    </row>
    <row r="792">
      <c r="A792" s="8"/>
      <c r="B792" s="9"/>
      <c r="C792" s="9"/>
      <c r="D792" s="9"/>
      <c r="E792" s="9"/>
      <c r="F792" s="9"/>
      <c r="G792" s="9"/>
    </row>
    <row r="793">
      <c r="A793" s="8"/>
      <c r="B793" s="9"/>
      <c r="C793" s="9"/>
      <c r="D793" s="9"/>
      <c r="E793" s="9"/>
      <c r="F793" s="9"/>
      <c r="G793" s="9"/>
    </row>
    <row r="794">
      <c r="A794" s="8"/>
      <c r="B794" s="9"/>
      <c r="C794" s="9"/>
      <c r="D794" s="9"/>
      <c r="E794" s="9"/>
      <c r="F794" s="9"/>
      <c r="G794" s="9"/>
    </row>
    <row r="795">
      <c r="A795" s="8"/>
      <c r="B795" s="9"/>
      <c r="C795" s="9"/>
      <c r="D795" s="9"/>
      <c r="E795" s="9"/>
      <c r="F795" s="9"/>
      <c r="G795" s="9"/>
    </row>
    <row r="796">
      <c r="A796" s="8"/>
      <c r="B796" s="9"/>
      <c r="C796" s="9"/>
      <c r="D796" s="9"/>
      <c r="E796" s="9"/>
      <c r="F796" s="9"/>
      <c r="G796" s="9"/>
    </row>
    <row r="797">
      <c r="A797" s="8"/>
      <c r="B797" s="9"/>
      <c r="C797" s="9"/>
      <c r="D797" s="9"/>
      <c r="E797" s="9"/>
      <c r="F797" s="9"/>
      <c r="G797" s="9"/>
    </row>
    <row r="798">
      <c r="A798" s="8"/>
      <c r="B798" s="9"/>
      <c r="C798" s="9"/>
      <c r="D798" s="9"/>
      <c r="E798" s="9"/>
      <c r="F798" s="9"/>
      <c r="G798" s="9"/>
    </row>
    <row r="799">
      <c r="A799" s="8"/>
      <c r="B799" s="9"/>
      <c r="C799" s="9"/>
      <c r="D799" s="9"/>
      <c r="E799" s="9"/>
      <c r="F799" s="9"/>
      <c r="G799" s="9"/>
    </row>
    <row r="800">
      <c r="A800" s="8"/>
      <c r="B800" s="9"/>
      <c r="C800" s="9"/>
      <c r="D800" s="9"/>
      <c r="E800" s="9"/>
      <c r="F800" s="9"/>
      <c r="G800" s="9"/>
    </row>
    <row r="801">
      <c r="A801" s="8"/>
      <c r="B801" s="9"/>
      <c r="C801" s="9"/>
      <c r="D801" s="9"/>
      <c r="E801" s="9"/>
      <c r="F801" s="9"/>
      <c r="G801" s="9"/>
    </row>
    <row r="802">
      <c r="A802" s="8"/>
      <c r="B802" s="9"/>
      <c r="C802" s="9"/>
      <c r="D802" s="9"/>
      <c r="E802" s="9"/>
      <c r="F802" s="9"/>
      <c r="G802" s="9"/>
    </row>
    <row r="803">
      <c r="A803" s="8"/>
      <c r="B803" s="9"/>
      <c r="C803" s="9"/>
      <c r="D803" s="9"/>
      <c r="E803" s="9"/>
      <c r="F803" s="9"/>
      <c r="G803" s="9"/>
    </row>
    <row r="804">
      <c r="A804" s="8"/>
      <c r="B804" s="9"/>
      <c r="C804" s="9"/>
      <c r="D804" s="9"/>
      <c r="E804" s="9"/>
      <c r="F804" s="9"/>
      <c r="G804" s="9"/>
    </row>
    <row r="805">
      <c r="A805" s="8"/>
      <c r="B805" s="9"/>
      <c r="C805" s="9"/>
      <c r="D805" s="9"/>
      <c r="E805" s="9"/>
      <c r="F805" s="9"/>
      <c r="G805" s="9"/>
    </row>
    <row r="806">
      <c r="A806" s="8"/>
      <c r="B806" s="9"/>
      <c r="C806" s="9"/>
      <c r="D806" s="9"/>
      <c r="E806" s="9"/>
      <c r="F806" s="9"/>
      <c r="G806" s="9"/>
    </row>
    <row r="807">
      <c r="A807" s="8"/>
      <c r="B807" s="9"/>
      <c r="C807" s="9"/>
      <c r="D807" s="9"/>
      <c r="E807" s="9"/>
      <c r="F807" s="9"/>
      <c r="G807" s="9"/>
    </row>
    <row r="808">
      <c r="A808" s="8"/>
      <c r="B808" s="9"/>
      <c r="C808" s="9"/>
      <c r="D808" s="9"/>
      <c r="E808" s="9"/>
      <c r="F808" s="9"/>
      <c r="G808" s="9"/>
    </row>
    <row r="809">
      <c r="A809" s="8"/>
      <c r="B809" s="9"/>
      <c r="C809" s="9"/>
      <c r="D809" s="9"/>
      <c r="E809" s="9"/>
      <c r="F809" s="9"/>
      <c r="G809" s="9"/>
    </row>
    <row r="810">
      <c r="A810" s="8"/>
      <c r="B810" s="9"/>
      <c r="C810" s="9"/>
      <c r="D810" s="9"/>
      <c r="E810" s="9"/>
      <c r="F810" s="9"/>
      <c r="G810" s="9"/>
    </row>
    <row r="811">
      <c r="A811" s="8"/>
      <c r="B811" s="9"/>
      <c r="C811" s="9"/>
      <c r="D811" s="9"/>
      <c r="E811" s="9"/>
      <c r="F811" s="9"/>
      <c r="G811" s="9"/>
    </row>
    <row r="812">
      <c r="A812" s="8"/>
      <c r="B812" s="9"/>
      <c r="C812" s="9"/>
      <c r="D812" s="9"/>
      <c r="E812" s="9"/>
      <c r="F812" s="9"/>
      <c r="G812" s="9"/>
    </row>
    <row r="813">
      <c r="A813" s="8"/>
      <c r="B813" s="9"/>
      <c r="C813" s="9"/>
      <c r="D813" s="9"/>
      <c r="E813" s="9"/>
      <c r="F813" s="9"/>
      <c r="G813" s="9"/>
    </row>
    <row r="814">
      <c r="A814" s="8"/>
      <c r="B814" s="9"/>
      <c r="C814" s="9"/>
      <c r="D814" s="9"/>
      <c r="E814" s="9"/>
      <c r="F814" s="9"/>
      <c r="G814" s="9"/>
    </row>
    <row r="815">
      <c r="A815" s="8"/>
      <c r="B815" s="9"/>
      <c r="C815" s="9"/>
      <c r="D815" s="9"/>
      <c r="E815" s="9"/>
      <c r="F815" s="9"/>
      <c r="G815" s="9"/>
    </row>
    <row r="816">
      <c r="A816" s="8"/>
      <c r="B816" s="9"/>
      <c r="C816" s="9"/>
      <c r="D816" s="9"/>
      <c r="E816" s="9"/>
      <c r="F816" s="9"/>
      <c r="G816" s="9"/>
    </row>
    <row r="817">
      <c r="A817" s="8"/>
      <c r="B817" s="9"/>
      <c r="C817" s="9"/>
      <c r="D817" s="9"/>
      <c r="E817" s="9"/>
      <c r="F817" s="9"/>
      <c r="G817" s="9"/>
    </row>
    <row r="818">
      <c r="A818" s="8"/>
      <c r="B818" s="9"/>
      <c r="C818" s="9"/>
      <c r="D818" s="9"/>
      <c r="E818" s="9"/>
      <c r="F818" s="9"/>
      <c r="G818" s="9"/>
    </row>
    <row r="819">
      <c r="A819" s="8"/>
      <c r="B819" s="9"/>
      <c r="C819" s="9"/>
      <c r="D819" s="9"/>
      <c r="E819" s="9"/>
      <c r="F819" s="9"/>
      <c r="G819" s="9"/>
    </row>
    <row r="820">
      <c r="A820" s="8"/>
      <c r="B820" s="9"/>
      <c r="C820" s="9"/>
      <c r="D820" s="9"/>
      <c r="E820" s="9"/>
      <c r="F820" s="9"/>
      <c r="G820" s="9"/>
    </row>
    <row r="821">
      <c r="A821" s="8"/>
      <c r="B821" s="9"/>
      <c r="C821" s="9"/>
      <c r="D821" s="9"/>
      <c r="E821" s="9"/>
      <c r="F821" s="9"/>
      <c r="G821" s="9"/>
    </row>
    <row r="822">
      <c r="A822" s="8"/>
      <c r="B822" s="9"/>
      <c r="C822" s="9"/>
      <c r="D822" s="9"/>
      <c r="E822" s="9"/>
      <c r="F822" s="9"/>
      <c r="G822" s="9"/>
    </row>
    <row r="823">
      <c r="A823" s="8"/>
      <c r="B823" s="9"/>
      <c r="C823" s="9"/>
      <c r="D823" s="9"/>
      <c r="E823" s="9"/>
      <c r="F823" s="9"/>
      <c r="G823" s="9"/>
    </row>
    <row r="824">
      <c r="A824" s="8"/>
      <c r="B824" s="9"/>
      <c r="C824" s="9"/>
      <c r="D824" s="9"/>
      <c r="E824" s="9"/>
      <c r="F824" s="9"/>
      <c r="G824" s="9"/>
    </row>
    <row r="825">
      <c r="A825" s="8"/>
      <c r="B825" s="9"/>
      <c r="C825" s="9"/>
      <c r="D825" s="9"/>
      <c r="E825" s="9"/>
      <c r="F825" s="9"/>
      <c r="G825" s="9"/>
    </row>
    <row r="826">
      <c r="A826" s="8"/>
      <c r="B826" s="9"/>
      <c r="C826" s="9"/>
      <c r="D826" s="9"/>
      <c r="E826" s="9"/>
      <c r="F826" s="9"/>
      <c r="G826" s="9"/>
    </row>
    <row r="827">
      <c r="A827" s="8"/>
      <c r="B827" s="9"/>
      <c r="C827" s="9"/>
      <c r="D827" s="9"/>
      <c r="E827" s="9"/>
      <c r="F827" s="9"/>
      <c r="G827" s="9"/>
    </row>
    <row r="828">
      <c r="A828" s="8"/>
      <c r="B828" s="9"/>
      <c r="C828" s="9"/>
      <c r="D828" s="9"/>
      <c r="E828" s="9"/>
      <c r="F828" s="9"/>
      <c r="G828" s="9"/>
    </row>
    <row r="829">
      <c r="A829" s="8"/>
      <c r="B829" s="9"/>
      <c r="C829" s="9"/>
      <c r="D829" s="9"/>
      <c r="E829" s="9"/>
      <c r="F829" s="9"/>
      <c r="G829" s="9"/>
    </row>
    <row r="830">
      <c r="A830" s="8"/>
      <c r="B830" s="9"/>
      <c r="C830" s="9"/>
      <c r="D830" s="9"/>
      <c r="E830" s="9"/>
      <c r="F830" s="9"/>
      <c r="G830" s="9"/>
    </row>
    <row r="831">
      <c r="A831" s="8"/>
      <c r="B831" s="9"/>
      <c r="C831" s="9"/>
      <c r="D831" s="9"/>
      <c r="E831" s="9"/>
      <c r="F831" s="9"/>
      <c r="G831" s="9"/>
    </row>
    <row r="832">
      <c r="A832" s="8"/>
      <c r="B832" s="9"/>
      <c r="C832" s="9"/>
      <c r="D832" s="9"/>
      <c r="E832" s="9"/>
      <c r="F832" s="9"/>
      <c r="G832" s="9"/>
    </row>
    <row r="833">
      <c r="A833" s="8"/>
      <c r="B833" s="9"/>
      <c r="C833" s="9"/>
      <c r="D833" s="9"/>
      <c r="E833" s="9"/>
      <c r="F833" s="9"/>
      <c r="G833" s="9"/>
    </row>
    <row r="834">
      <c r="A834" s="8"/>
      <c r="B834" s="9"/>
      <c r="C834" s="9"/>
      <c r="D834" s="9"/>
      <c r="E834" s="9"/>
      <c r="F834" s="9"/>
      <c r="G834" s="9"/>
    </row>
    <row r="835">
      <c r="A835" s="8"/>
      <c r="B835" s="9"/>
      <c r="C835" s="9"/>
      <c r="D835" s="9"/>
      <c r="E835" s="9"/>
      <c r="F835" s="9"/>
      <c r="G835" s="9"/>
    </row>
    <row r="836">
      <c r="A836" s="8"/>
      <c r="B836" s="9"/>
      <c r="C836" s="9"/>
      <c r="D836" s="9"/>
      <c r="E836" s="9"/>
      <c r="F836" s="9"/>
      <c r="G836" s="9"/>
    </row>
    <row r="837">
      <c r="A837" s="8"/>
      <c r="B837" s="9"/>
      <c r="C837" s="9"/>
      <c r="D837" s="9"/>
      <c r="E837" s="9"/>
      <c r="F837" s="9"/>
      <c r="G837" s="9"/>
    </row>
    <row r="838">
      <c r="A838" s="8"/>
      <c r="B838" s="9"/>
      <c r="C838" s="9"/>
      <c r="D838" s="9"/>
      <c r="E838" s="9"/>
      <c r="F838" s="9"/>
      <c r="G838" s="9"/>
    </row>
    <row r="839">
      <c r="A839" s="8"/>
      <c r="B839" s="9"/>
      <c r="C839" s="9"/>
      <c r="D839" s="9"/>
      <c r="E839" s="9"/>
      <c r="F839" s="9"/>
      <c r="G839" s="9"/>
    </row>
    <row r="840">
      <c r="A840" s="8"/>
      <c r="B840" s="9"/>
      <c r="C840" s="9"/>
      <c r="D840" s="9"/>
      <c r="E840" s="9"/>
      <c r="F840" s="9"/>
      <c r="G840" s="9"/>
    </row>
    <row r="841">
      <c r="A841" s="8"/>
      <c r="B841" s="9"/>
      <c r="C841" s="9"/>
      <c r="D841" s="9"/>
      <c r="E841" s="9"/>
      <c r="F841" s="9"/>
      <c r="G841" s="9"/>
    </row>
    <row r="842">
      <c r="A842" s="8"/>
      <c r="B842" s="9"/>
      <c r="C842" s="9"/>
      <c r="D842" s="9"/>
      <c r="E842" s="9"/>
      <c r="F842" s="9"/>
      <c r="G842" s="9"/>
    </row>
    <row r="843">
      <c r="A843" s="8"/>
      <c r="B843" s="9"/>
      <c r="C843" s="9"/>
      <c r="D843" s="9"/>
      <c r="E843" s="9"/>
      <c r="F843" s="9"/>
      <c r="G843" s="9"/>
    </row>
    <row r="844">
      <c r="A844" s="8"/>
      <c r="B844" s="9"/>
      <c r="C844" s="9"/>
      <c r="D844" s="9"/>
      <c r="E844" s="9"/>
      <c r="F844" s="9"/>
      <c r="G844" s="9"/>
    </row>
    <row r="845">
      <c r="A845" s="8"/>
      <c r="B845" s="9"/>
      <c r="C845" s="9"/>
      <c r="D845" s="9"/>
      <c r="E845" s="9"/>
      <c r="F845" s="9"/>
      <c r="G845" s="9"/>
    </row>
    <row r="846">
      <c r="A846" s="8"/>
      <c r="B846" s="9"/>
      <c r="C846" s="9"/>
      <c r="D846" s="9"/>
      <c r="E846" s="9"/>
      <c r="F846" s="9"/>
      <c r="G846" s="9"/>
    </row>
    <row r="847">
      <c r="A847" s="8"/>
      <c r="B847" s="9"/>
      <c r="C847" s="9"/>
      <c r="D847" s="9"/>
      <c r="E847" s="9"/>
      <c r="F847" s="9"/>
      <c r="G847" s="9"/>
    </row>
    <row r="848">
      <c r="A848" s="8"/>
      <c r="B848" s="9"/>
      <c r="C848" s="9"/>
      <c r="D848" s="9"/>
      <c r="E848" s="9"/>
      <c r="F848" s="9"/>
      <c r="G848" s="9"/>
    </row>
    <row r="849">
      <c r="A849" s="8"/>
      <c r="B849" s="9"/>
      <c r="C849" s="9"/>
      <c r="D849" s="9"/>
      <c r="E849" s="9"/>
      <c r="F849" s="9"/>
      <c r="G849" s="9"/>
    </row>
    <row r="850">
      <c r="A850" s="8"/>
      <c r="B850" s="9"/>
      <c r="C850" s="9"/>
      <c r="D850" s="9"/>
      <c r="E850" s="9"/>
      <c r="F850" s="9"/>
      <c r="G850" s="9"/>
    </row>
    <row r="851">
      <c r="A851" s="8"/>
      <c r="B851" s="9"/>
      <c r="C851" s="9"/>
      <c r="D851" s="9"/>
      <c r="E851" s="9"/>
      <c r="F851" s="9"/>
      <c r="G851" s="9"/>
    </row>
    <row r="852">
      <c r="A852" s="8"/>
      <c r="B852" s="9"/>
      <c r="C852" s="9"/>
      <c r="D852" s="9"/>
      <c r="E852" s="9"/>
      <c r="F852" s="9"/>
      <c r="G852" s="9"/>
    </row>
    <row r="853">
      <c r="A853" s="8"/>
      <c r="B853" s="9"/>
      <c r="C853" s="9"/>
      <c r="D853" s="9"/>
      <c r="E853" s="9"/>
      <c r="F853" s="9"/>
      <c r="G853" s="9"/>
    </row>
    <row r="854">
      <c r="A854" s="8"/>
      <c r="B854" s="9"/>
      <c r="C854" s="9"/>
      <c r="D854" s="9"/>
      <c r="E854" s="9"/>
      <c r="F854" s="9"/>
      <c r="G854" s="9"/>
    </row>
    <row r="855">
      <c r="A855" s="8"/>
      <c r="B855" s="9"/>
      <c r="C855" s="9"/>
      <c r="D855" s="9"/>
      <c r="E855" s="9"/>
      <c r="F855" s="9"/>
      <c r="G855" s="9"/>
    </row>
    <row r="856">
      <c r="A856" s="8"/>
      <c r="B856" s="9"/>
      <c r="C856" s="9"/>
      <c r="D856" s="9"/>
      <c r="E856" s="9"/>
      <c r="F856" s="9"/>
      <c r="G856" s="9"/>
    </row>
    <row r="857">
      <c r="A857" s="8"/>
      <c r="B857" s="9"/>
      <c r="C857" s="9"/>
      <c r="D857" s="9"/>
      <c r="E857" s="9"/>
      <c r="F857" s="9"/>
      <c r="G857" s="9"/>
    </row>
    <row r="858">
      <c r="A858" s="8"/>
      <c r="B858" s="9"/>
      <c r="C858" s="9"/>
      <c r="D858" s="9"/>
      <c r="E858" s="9"/>
      <c r="F858" s="9"/>
      <c r="G858" s="9"/>
    </row>
    <row r="859">
      <c r="A859" s="8"/>
      <c r="B859" s="9"/>
      <c r="C859" s="9"/>
      <c r="D859" s="9"/>
      <c r="E859" s="9"/>
      <c r="F859" s="9"/>
      <c r="G859" s="9"/>
    </row>
    <row r="860">
      <c r="A860" s="8"/>
      <c r="B860" s="9"/>
      <c r="C860" s="9"/>
      <c r="D860" s="9"/>
      <c r="E860" s="9"/>
      <c r="F860" s="9"/>
      <c r="G860" s="9"/>
    </row>
    <row r="861">
      <c r="A861" s="8"/>
      <c r="B861" s="9"/>
      <c r="C861" s="9"/>
      <c r="D861" s="9"/>
      <c r="E861" s="9"/>
      <c r="F861" s="9"/>
      <c r="G861" s="9"/>
    </row>
    <row r="862">
      <c r="A862" s="8"/>
      <c r="B862" s="9"/>
      <c r="C862" s="9"/>
      <c r="D862" s="9"/>
      <c r="E862" s="9"/>
      <c r="F862" s="9"/>
      <c r="G862" s="9"/>
    </row>
    <row r="863">
      <c r="A863" s="8"/>
      <c r="B863" s="9"/>
      <c r="C863" s="9"/>
      <c r="D863" s="9"/>
      <c r="E863" s="9"/>
      <c r="F863" s="9"/>
      <c r="G863" s="9"/>
    </row>
    <row r="864">
      <c r="A864" s="8"/>
      <c r="B864" s="9"/>
      <c r="C864" s="9"/>
      <c r="D864" s="9"/>
      <c r="E864" s="9"/>
      <c r="F864" s="9"/>
      <c r="G864" s="9"/>
    </row>
    <row r="865">
      <c r="A865" s="8"/>
      <c r="B865" s="9"/>
      <c r="C865" s="9"/>
      <c r="D865" s="9"/>
      <c r="E865" s="9"/>
      <c r="F865" s="9"/>
      <c r="G865" s="9"/>
    </row>
    <row r="866">
      <c r="A866" s="8"/>
      <c r="B866" s="9"/>
      <c r="C866" s="9"/>
      <c r="D866" s="9"/>
      <c r="E866" s="9"/>
      <c r="F866" s="9"/>
      <c r="G866" s="9"/>
    </row>
    <row r="867">
      <c r="A867" s="8"/>
      <c r="B867" s="9"/>
      <c r="C867" s="9"/>
      <c r="D867" s="9"/>
      <c r="E867" s="9"/>
      <c r="F867" s="9"/>
      <c r="G867" s="9"/>
    </row>
    <row r="868">
      <c r="A868" s="8"/>
      <c r="B868" s="9"/>
      <c r="C868" s="9"/>
      <c r="D868" s="9"/>
      <c r="E868" s="9"/>
      <c r="F868" s="9"/>
      <c r="G868" s="9"/>
    </row>
    <row r="869">
      <c r="A869" s="8"/>
      <c r="B869" s="9"/>
      <c r="C869" s="9"/>
      <c r="D869" s="9"/>
      <c r="E869" s="9"/>
      <c r="F869" s="9"/>
      <c r="G869" s="9"/>
    </row>
    <row r="870">
      <c r="A870" s="8"/>
      <c r="B870" s="9"/>
      <c r="C870" s="9"/>
      <c r="D870" s="9"/>
      <c r="E870" s="9"/>
      <c r="F870" s="9"/>
      <c r="G870" s="9"/>
    </row>
    <row r="871">
      <c r="A871" s="8"/>
      <c r="B871" s="9"/>
      <c r="C871" s="9"/>
      <c r="D871" s="9"/>
      <c r="E871" s="9"/>
      <c r="F871" s="9"/>
      <c r="G871" s="9"/>
    </row>
    <row r="872">
      <c r="A872" s="8"/>
      <c r="B872" s="9"/>
      <c r="C872" s="9"/>
      <c r="D872" s="9"/>
      <c r="E872" s="9"/>
      <c r="F872" s="9"/>
      <c r="G872" s="9"/>
    </row>
    <row r="873">
      <c r="A873" s="8"/>
      <c r="B873" s="9"/>
      <c r="C873" s="9"/>
      <c r="D873" s="9"/>
      <c r="E873" s="9"/>
      <c r="F873" s="9"/>
      <c r="G873" s="9"/>
    </row>
    <row r="874">
      <c r="A874" s="8"/>
      <c r="B874" s="9"/>
      <c r="C874" s="9"/>
      <c r="D874" s="9"/>
      <c r="E874" s="9"/>
      <c r="F874" s="9"/>
      <c r="G874" s="9"/>
    </row>
    <row r="875">
      <c r="A875" s="8"/>
      <c r="B875" s="9"/>
      <c r="C875" s="9"/>
      <c r="D875" s="9"/>
      <c r="E875" s="9"/>
      <c r="F875" s="9"/>
      <c r="G875" s="9"/>
    </row>
    <row r="876">
      <c r="A876" s="8"/>
      <c r="B876" s="9"/>
      <c r="C876" s="9"/>
      <c r="D876" s="9"/>
      <c r="E876" s="9"/>
      <c r="F876" s="9"/>
      <c r="G876" s="9"/>
    </row>
    <row r="877">
      <c r="A877" s="8"/>
      <c r="B877" s="9"/>
      <c r="C877" s="9"/>
      <c r="D877" s="9"/>
      <c r="E877" s="9"/>
      <c r="F877" s="9"/>
      <c r="G877" s="9"/>
    </row>
    <row r="878">
      <c r="A878" s="8"/>
      <c r="B878" s="9"/>
      <c r="C878" s="9"/>
      <c r="D878" s="9"/>
      <c r="E878" s="9"/>
      <c r="F878" s="9"/>
      <c r="G878" s="9"/>
    </row>
    <row r="879">
      <c r="A879" s="8"/>
      <c r="B879" s="9"/>
      <c r="C879" s="9"/>
      <c r="D879" s="9"/>
      <c r="E879" s="9"/>
      <c r="F879" s="9"/>
      <c r="G879" s="9"/>
    </row>
    <row r="880">
      <c r="A880" s="8"/>
      <c r="B880" s="9"/>
      <c r="C880" s="9"/>
      <c r="D880" s="9"/>
      <c r="E880" s="9"/>
      <c r="F880" s="9"/>
      <c r="G880" s="9"/>
    </row>
    <row r="881">
      <c r="A881" s="8"/>
      <c r="B881" s="9"/>
      <c r="C881" s="9"/>
      <c r="D881" s="9"/>
      <c r="E881" s="9"/>
      <c r="F881" s="9"/>
      <c r="G881" s="9"/>
    </row>
    <row r="882">
      <c r="A882" s="8"/>
      <c r="B882" s="9"/>
      <c r="C882" s="9"/>
      <c r="D882" s="9"/>
      <c r="E882" s="9"/>
      <c r="F882" s="9"/>
      <c r="G882" s="9"/>
    </row>
    <row r="883">
      <c r="A883" s="8"/>
      <c r="B883" s="9"/>
      <c r="C883" s="9"/>
      <c r="D883" s="9"/>
      <c r="E883" s="9"/>
      <c r="F883" s="9"/>
      <c r="G883" s="9"/>
    </row>
    <row r="884">
      <c r="A884" s="8"/>
      <c r="B884" s="9"/>
      <c r="C884" s="9"/>
      <c r="D884" s="9"/>
      <c r="E884" s="9"/>
      <c r="F884" s="9"/>
      <c r="G884" s="9"/>
    </row>
    <row r="885">
      <c r="A885" s="8"/>
      <c r="B885" s="9"/>
      <c r="C885" s="9"/>
      <c r="D885" s="9"/>
      <c r="E885" s="9"/>
      <c r="F885" s="9"/>
      <c r="G885" s="9"/>
    </row>
    <row r="886">
      <c r="A886" s="8"/>
      <c r="B886" s="9"/>
      <c r="C886" s="9"/>
      <c r="D886" s="9"/>
      <c r="E886" s="9"/>
      <c r="F886" s="9"/>
      <c r="G886" s="9"/>
    </row>
    <row r="887">
      <c r="A887" s="8"/>
      <c r="B887" s="9"/>
      <c r="C887" s="9"/>
      <c r="D887" s="9"/>
      <c r="E887" s="9"/>
      <c r="F887" s="9"/>
      <c r="G887" s="9"/>
    </row>
    <row r="888">
      <c r="A888" s="8"/>
      <c r="B888" s="9"/>
      <c r="C888" s="9"/>
      <c r="D888" s="9"/>
      <c r="E888" s="9"/>
      <c r="F888" s="9"/>
      <c r="G888" s="9"/>
    </row>
    <row r="889">
      <c r="A889" s="8"/>
      <c r="B889" s="9"/>
      <c r="C889" s="9"/>
      <c r="D889" s="9"/>
      <c r="E889" s="9"/>
      <c r="F889" s="9"/>
      <c r="G889" s="9"/>
    </row>
    <row r="890">
      <c r="A890" s="8"/>
      <c r="B890" s="9"/>
      <c r="C890" s="9"/>
      <c r="D890" s="9"/>
      <c r="E890" s="9"/>
      <c r="F890" s="9"/>
      <c r="G890" s="9"/>
    </row>
    <row r="891">
      <c r="A891" s="8"/>
      <c r="B891" s="9"/>
      <c r="C891" s="9"/>
      <c r="D891" s="9"/>
      <c r="E891" s="9"/>
      <c r="F891" s="9"/>
      <c r="G891" s="9"/>
    </row>
    <row r="892">
      <c r="A892" s="8"/>
      <c r="B892" s="9"/>
      <c r="C892" s="9"/>
      <c r="D892" s="9"/>
      <c r="E892" s="9"/>
      <c r="F892" s="9"/>
      <c r="G892" s="9"/>
    </row>
    <row r="893">
      <c r="A893" s="8"/>
      <c r="B893" s="9"/>
      <c r="C893" s="9"/>
      <c r="D893" s="9"/>
      <c r="E893" s="9"/>
      <c r="F893" s="9"/>
      <c r="G893" s="9"/>
    </row>
    <row r="894">
      <c r="A894" s="8"/>
      <c r="B894" s="9"/>
      <c r="C894" s="9"/>
      <c r="D894" s="9"/>
      <c r="E894" s="9"/>
      <c r="F894" s="9"/>
      <c r="G894" s="9"/>
    </row>
    <row r="895">
      <c r="A895" s="8"/>
      <c r="B895" s="9"/>
      <c r="C895" s="9"/>
      <c r="D895" s="9"/>
      <c r="E895" s="9"/>
      <c r="F895" s="9"/>
      <c r="G895" s="9"/>
    </row>
    <row r="896">
      <c r="A896" s="8"/>
      <c r="B896" s="9"/>
      <c r="C896" s="9"/>
      <c r="D896" s="9"/>
      <c r="E896" s="9"/>
      <c r="F896" s="9"/>
      <c r="G896" s="9"/>
    </row>
    <row r="897">
      <c r="A897" s="8"/>
      <c r="B897" s="9"/>
      <c r="C897" s="9"/>
      <c r="D897" s="9"/>
      <c r="E897" s="9"/>
      <c r="F897" s="9"/>
      <c r="G897" s="9"/>
    </row>
    <row r="898">
      <c r="A898" s="8"/>
      <c r="B898" s="9"/>
      <c r="C898" s="9"/>
      <c r="D898" s="9"/>
      <c r="E898" s="9"/>
      <c r="F898" s="9"/>
      <c r="G898" s="9"/>
    </row>
    <row r="899">
      <c r="A899" s="8"/>
      <c r="B899" s="9"/>
      <c r="C899" s="9"/>
      <c r="D899" s="9"/>
      <c r="E899" s="9"/>
      <c r="F899" s="9"/>
      <c r="G899" s="9"/>
    </row>
    <row r="900">
      <c r="A900" s="8"/>
      <c r="B900" s="9"/>
      <c r="C900" s="9"/>
      <c r="D900" s="9"/>
      <c r="E900" s="9"/>
      <c r="F900" s="9"/>
      <c r="G900" s="9"/>
    </row>
    <row r="901">
      <c r="A901" s="8"/>
      <c r="B901" s="9"/>
      <c r="C901" s="9"/>
      <c r="D901" s="9"/>
      <c r="E901" s="9"/>
      <c r="F901" s="9"/>
      <c r="G901" s="9"/>
    </row>
    <row r="902">
      <c r="A902" s="8"/>
      <c r="B902" s="9"/>
      <c r="C902" s="9"/>
      <c r="D902" s="9"/>
      <c r="E902" s="9"/>
      <c r="F902" s="9"/>
      <c r="G902" s="9"/>
    </row>
    <row r="903">
      <c r="A903" s="8"/>
      <c r="B903" s="9"/>
      <c r="C903" s="9"/>
      <c r="D903" s="9"/>
      <c r="E903" s="9"/>
      <c r="F903" s="9"/>
      <c r="G903" s="9"/>
    </row>
    <row r="904">
      <c r="A904" s="8"/>
      <c r="B904" s="9"/>
      <c r="C904" s="9"/>
      <c r="D904" s="9"/>
      <c r="E904" s="9"/>
      <c r="F904" s="9"/>
      <c r="G904" s="9"/>
    </row>
    <row r="905">
      <c r="A905" s="8"/>
      <c r="B905" s="9"/>
      <c r="C905" s="9"/>
      <c r="D905" s="9"/>
      <c r="E905" s="9"/>
      <c r="F905" s="9"/>
      <c r="G905" s="9"/>
    </row>
    <row r="906">
      <c r="A906" s="8"/>
      <c r="B906" s="9"/>
      <c r="C906" s="9"/>
      <c r="D906" s="9"/>
      <c r="E906" s="9"/>
      <c r="F906" s="9"/>
      <c r="G906" s="9"/>
    </row>
    <row r="907">
      <c r="A907" s="8"/>
      <c r="B907" s="9"/>
      <c r="C907" s="9"/>
      <c r="D907" s="9"/>
      <c r="E907" s="9"/>
      <c r="F907" s="9"/>
      <c r="G907" s="9"/>
    </row>
    <row r="908">
      <c r="A908" s="8"/>
      <c r="B908" s="9"/>
      <c r="C908" s="9"/>
      <c r="D908" s="9"/>
      <c r="E908" s="9"/>
      <c r="F908" s="9"/>
      <c r="G908" s="9"/>
    </row>
    <row r="909">
      <c r="A909" s="8"/>
      <c r="B909" s="9"/>
      <c r="C909" s="9"/>
      <c r="D909" s="9"/>
      <c r="E909" s="9"/>
      <c r="F909" s="9"/>
      <c r="G909" s="9"/>
    </row>
    <row r="910">
      <c r="A910" s="8"/>
      <c r="B910" s="9"/>
      <c r="C910" s="9"/>
      <c r="D910" s="9"/>
      <c r="E910" s="9"/>
      <c r="F910" s="9"/>
      <c r="G910" s="9"/>
    </row>
    <row r="911">
      <c r="A911" s="8"/>
      <c r="B911" s="9"/>
      <c r="C911" s="9"/>
      <c r="D911" s="9"/>
      <c r="E911" s="9"/>
      <c r="F911" s="9"/>
      <c r="G911" s="9"/>
    </row>
    <row r="912">
      <c r="A912" s="8"/>
      <c r="B912" s="9"/>
      <c r="C912" s="9"/>
      <c r="D912" s="9"/>
      <c r="E912" s="9"/>
      <c r="F912" s="9"/>
      <c r="G912" s="9"/>
    </row>
    <row r="913">
      <c r="A913" s="8"/>
      <c r="B913" s="9"/>
      <c r="C913" s="9"/>
      <c r="D913" s="9"/>
      <c r="E913" s="9"/>
      <c r="F913" s="9"/>
      <c r="G913" s="9"/>
    </row>
    <row r="914">
      <c r="A914" s="8"/>
      <c r="B914" s="9"/>
      <c r="C914" s="9"/>
      <c r="D914" s="9"/>
      <c r="E914" s="9"/>
      <c r="F914" s="9"/>
      <c r="G914" s="9"/>
    </row>
    <row r="915">
      <c r="A915" s="8"/>
      <c r="B915" s="9"/>
      <c r="C915" s="9"/>
      <c r="D915" s="9"/>
      <c r="E915" s="9"/>
      <c r="F915" s="9"/>
      <c r="G915" s="9"/>
    </row>
    <row r="916">
      <c r="A916" s="8"/>
      <c r="B916" s="9"/>
      <c r="C916" s="9"/>
      <c r="D916" s="9"/>
      <c r="E916" s="9"/>
      <c r="F916" s="9"/>
      <c r="G916" s="9"/>
    </row>
    <row r="917">
      <c r="A917" s="8"/>
      <c r="B917" s="9"/>
      <c r="C917" s="9"/>
      <c r="D917" s="9"/>
      <c r="E917" s="9"/>
      <c r="F917" s="9"/>
      <c r="G917" s="9"/>
    </row>
    <row r="918">
      <c r="A918" s="8"/>
      <c r="B918" s="9"/>
      <c r="C918" s="9"/>
      <c r="D918" s="9"/>
      <c r="E918" s="9"/>
      <c r="F918" s="9"/>
      <c r="G918" s="9"/>
    </row>
    <row r="919">
      <c r="A919" s="8"/>
      <c r="B919" s="9"/>
      <c r="C919" s="9"/>
      <c r="D919" s="9"/>
      <c r="E919" s="9"/>
      <c r="F919" s="9"/>
      <c r="G919" s="9"/>
    </row>
    <row r="920">
      <c r="A920" s="8"/>
      <c r="B920" s="9"/>
      <c r="C920" s="9"/>
      <c r="D920" s="9"/>
      <c r="E920" s="9"/>
      <c r="F920" s="9"/>
      <c r="G920" s="9"/>
    </row>
    <row r="921">
      <c r="A921" s="8"/>
      <c r="B921" s="9"/>
      <c r="C921" s="9"/>
      <c r="D921" s="9"/>
      <c r="E921" s="9"/>
      <c r="F921" s="9"/>
      <c r="G921" s="9"/>
    </row>
    <row r="922">
      <c r="A922" s="8"/>
      <c r="B922" s="9"/>
      <c r="C922" s="9"/>
      <c r="D922" s="9"/>
      <c r="E922" s="9"/>
      <c r="F922" s="9"/>
      <c r="G922" s="9"/>
    </row>
    <row r="923">
      <c r="A923" s="8"/>
      <c r="B923" s="9"/>
      <c r="C923" s="9"/>
      <c r="D923" s="9"/>
      <c r="E923" s="9"/>
      <c r="F923" s="9"/>
      <c r="G923" s="9"/>
    </row>
    <row r="924">
      <c r="A924" s="8"/>
      <c r="B924" s="9"/>
      <c r="C924" s="9"/>
      <c r="D924" s="9"/>
      <c r="E924" s="9"/>
      <c r="F924" s="9"/>
      <c r="G924" s="9"/>
    </row>
    <row r="925">
      <c r="A925" s="8"/>
      <c r="B925" s="9"/>
      <c r="C925" s="9"/>
      <c r="D925" s="9"/>
      <c r="E925" s="9"/>
      <c r="F925" s="9"/>
      <c r="G925" s="9"/>
    </row>
    <row r="926">
      <c r="A926" s="8"/>
      <c r="B926" s="9"/>
      <c r="C926" s="9"/>
      <c r="D926" s="9"/>
      <c r="E926" s="9"/>
      <c r="F926" s="9"/>
      <c r="G926" s="9"/>
    </row>
    <row r="927">
      <c r="A927" s="8"/>
      <c r="B927" s="9"/>
      <c r="C927" s="9"/>
      <c r="D927" s="9"/>
      <c r="E927" s="9"/>
      <c r="F927" s="9"/>
      <c r="G927" s="9"/>
    </row>
    <row r="928">
      <c r="A928" s="8"/>
      <c r="B928" s="9"/>
      <c r="C928" s="9"/>
      <c r="D928" s="9"/>
      <c r="E928" s="9"/>
      <c r="F928" s="9"/>
      <c r="G928" s="9"/>
    </row>
    <row r="929">
      <c r="A929" s="8"/>
      <c r="B929" s="9"/>
      <c r="C929" s="9"/>
      <c r="D929" s="9"/>
      <c r="E929" s="9"/>
      <c r="F929" s="9"/>
      <c r="G929" s="9"/>
    </row>
    <row r="930">
      <c r="A930" s="8"/>
      <c r="B930" s="9"/>
      <c r="C930" s="9"/>
      <c r="D930" s="9"/>
      <c r="E930" s="9"/>
      <c r="F930" s="9"/>
      <c r="G930" s="9"/>
    </row>
    <row r="931">
      <c r="A931" s="8"/>
      <c r="B931" s="9"/>
      <c r="C931" s="9"/>
      <c r="D931" s="9"/>
      <c r="E931" s="9"/>
      <c r="F931" s="9"/>
      <c r="G931" s="9"/>
    </row>
    <row r="932">
      <c r="A932" s="8"/>
      <c r="B932" s="9"/>
      <c r="C932" s="9"/>
      <c r="D932" s="9"/>
      <c r="E932" s="9"/>
      <c r="F932" s="9"/>
      <c r="G932" s="9"/>
    </row>
    <row r="933">
      <c r="A933" s="8"/>
      <c r="B933" s="9"/>
      <c r="C933" s="9"/>
      <c r="D933" s="9"/>
      <c r="E933" s="9"/>
      <c r="F933" s="9"/>
      <c r="G933" s="9"/>
    </row>
    <row r="934">
      <c r="A934" s="8"/>
      <c r="B934" s="9"/>
      <c r="C934" s="9"/>
      <c r="D934" s="9"/>
      <c r="E934" s="9"/>
      <c r="F934" s="9"/>
      <c r="G934" s="9"/>
    </row>
    <row r="935">
      <c r="A935" s="8"/>
      <c r="B935" s="9"/>
      <c r="C935" s="9"/>
      <c r="D935" s="9"/>
      <c r="E935" s="9"/>
      <c r="F935" s="9"/>
      <c r="G935" s="9"/>
    </row>
    <row r="936">
      <c r="A936" s="8"/>
      <c r="B936" s="9"/>
      <c r="C936" s="9"/>
      <c r="D936" s="9"/>
      <c r="E936" s="9"/>
      <c r="F936" s="9"/>
      <c r="G936" s="9"/>
    </row>
    <row r="937">
      <c r="A937" s="8"/>
      <c r="B937" s="9"/>
      <c r="C937" s="9"/>
      <c r="D937" s="9"/>
      <c r="E937" s="9"/>
      <c r="F937" s="9"/>
      <c r="G937" s="9"/>
    </row>
    <row r="938">
      <c r="A938" s="8"/>
      <c r="B938" s="9"/>
      <c r="C938" s="9"/>
      <c r="D938" s="9"/>
      <c r="E938" s="9"/>
      <c r="F938" s="9"/>
      <c r="G938" s="9"/>
    </row>
    <row r="939">
      <c r="A939" s="8"/>
      <c r="B939" s="9"/>
      <c r="C939" s="9"/>
      <c r="D939" s="9"/>
      <c r="E939" s="9"/>
      <c r="F939" s="9"/>
      <c r="G939" s="9"/>
    </row>
    <row r="940">
      <c r="A940" s="8"/>
      <c r="B940" s="9"/>
      <c r="C940" s="9"/>
      <c r="D940" s="9"/>
      <c r="E940" s="9"/>
      <c r="F940" s="9"/>
      <c r="G940" s="9"/>
    </row>
    <row r="941">
      <c r="A941" s="8"/>
      <c r="B941" s="9"/>
      <c r="C941" s="9"/>
      <c r="D941" s="9"/>
      <c r="E941" s="9"/>
      <c r="F941" s="9"/>
      <c r="G941" s="9"/>
    </row>
    <row r="942">
      <c r="A942" s="8"/>
      <c r="B942" s="9"/>
      <c r="C942" s="9"/>
      <c r="D942" s="9"/>
      <c r="E942" s="9"/>
      <c r="F942" s="9"/>
      <c r="G942" s="9"/>
    </row>
    <row r="943">
      <c r="A943" s="8"/>
      <c r="B943" s="9"/>
      <c r="C943" s="9"/>
      <c r="D943" s="9"/>
      <c r="E943" s="9"/>
      <c r="F943" s="9"/>
      <c r="G943" s="9"/>
    </row>
    <row r="944">
      <c r="A944" s="8"/>
      <c r="B944" s="9"/>
      <c r="C944" s="9"/>
      <c r="D944" s="9"/>
      <c r="E944" s="9"/>
      <c r="F944" s="9"/>
      <c r="G944" s="9"/>
    </row>
    <row r="945">
      <c r="A945" s="8"/>
      <c r="B945" s="9"/>
      <c r="C945" s="9"/>
      <c r="D945" s="9"/>
      <c r="E945" s="9"/>
      <c r="F945" s="9"/>
      <c r="G945" s="9"/>
    </row>
    <row r="946">
      <c r="A946" s="8"/>
      <c r="B946" s="9"/>
      <c r="C946" s="9"/>
      <c r="D946" s="9"/>
      <c r="E946" s="9"/>
      <c r="F946" s="9"/>
      <c r="G946" s="9"/>
    </row>
    <row r="947">
      <c r="A947" s="8"/>
      <c r="B947" s="9"/>
      <c r="C947" s="9"/>
      <c r="D947" s="9"/>
      <c r="E947" s="9"/>
      <c r="F947" s="9"/>
      <c r="G947" s="9"/>
    </row>
    <row r="948">
      <c r="A948" s="8"/>
      <c r="B948" s="9"/>
      <c r="C948" s="9"/>
      <c r="D948" s="9"/>
      <c r="E948" s="9"/>
      <c r="F948" s="9"/>
      <c r="G948" s="9"/>
    </row>
    <row r="949">
      <c r="A949" s="8"/>
      <c r="B949" s="9"/>
      <c r="C949" s="9"/>
      <c r="D949" s="9"/>
      <c r="E949" s="9"/>
      <c r="F949" s="9"/>
      <c r="G949" s="9"/>
    </row>
    <row r="950">
      <c r="A950" s="8"/>
      <c r="B950" s="9"/>
      <c r="C950" s="9"/>
      <c r="D950" s="9"/>
      <c r="E950" s="9"/>
      <c r="F950" s="9"/>
      <c r="G950" s="9"/>
    </row>
    <row r="951">
      <c r="A951" s="8"/>
      <c r="B951" s="9"/>
      <c r="C951" s="9"/>
      <c r="D951" s="9"/>
      <c r="E951" s="9"/>
      <c r="F951" s="9"/>
      <c r="G951" s="9"/>
    </row>
    <row r="952">
      <c r="A952" s="8"/>
      <c r="B952" s="9"/>
      <c r="C952" s="9"/>
      <c r="D952" s="9"/>
      <c r="E952" s="9"/>
      <c r="F952" s="9"/>
      <c r="G952" s="9"/>
    </row>
    <row r="953">
      <c r="A953" s="8"/>
      <c r="B953" s="9"/>
      <c r="C953" s="9"/>
      <c r="D953" s="9"/>
      <c r="E953" s="9"/>
      <c r="F953" s="9"/>
      <c r="G953" s="9"/>
    </row>
    <row r="954">
      <c r="A954" s="8"/>
      <c r="B954" s="9"/>
      <c r="C954" s="9"/>
      <c r="D954" s="9"/>
      <c r="E954" s="9"/>
      <c r="F954" s="9"/>
      <c r="G954" s="9"/>
    </row>
    <row r="955">
      <c r="A955" s="8"/>
      <c r="B955" s="9"/>
      <c r="C955" s="9"/>
      <c r="D955" s="9"/>
      <c r="E955" s="9"/>
      <c r="F955" s="9"/>
      <c r="G955" s="9"/>
    </row>
    <row r="956">
      <c r="A956" s="8"/>
      <c r="B956" s="9"/>
      <c r="C956" s="9"/>
      <c r="D956" s="9"/>
      <c r="E956" s="9"/>
      <c r="F956" s="9"/>
      <c r="G956" s="9"/>
    </row>
    <row r="957">
      <c r="A957" s="8"/>
      <c r="B957" s="9"/>
      <c r="C957" s="9"/>
      <c r="D957" s="9"/>
      <c r="E957" s="9"/>
      <c r="F957" s="9"/>
      <c r="G957" s="9"/>
    </row>
    <row r="958">
      <c r="A958" s="8"/>
      <c r="B958" s="9"/>
      <c r="C958" s="9"/>
      <c r="D958" s="9"/>
      <c r="E958" s="9"/>
      <c r="F958" s="9"/>
      <c r="G958" s="9"/>
    </row>
    <row r="959">
      <c r="A959" s="8"/>
      <c r="B959" s="9"/>
      <c r="C959" s="9"/>
      <c r="D959" s="9"/>
      <c r="E959" s="9"/>
      <c r="F959" s="9"/>
      <c r="G959" s="9"/>
    </row>
    <row r="960">
      <c r="A960" s="8"/>
      <c r="B960" s="9"/>
      <c r="C960" s="9"/>
      <c r="D960" s="9"/>
      <c r="E960" s="9"/>
      <c r="F960" s="9"/>
      <c r="G960" s="9"/>
    </row>
    <row r="961">
      <c r="A961" s="8"/>
      <c r="B961" s="9"/>
      <c r="C961" s="9"/>
      <c r="D961" s="9"/>
      <c r="E961" s="9"/>
      <c r="F961" s="9"/>
      <c r="G961" s="9"/>
    </row>
    <row r="962">
      <c r="A962" s="8"/>
      <c r="B962" s="9"/>
      <c r="C962" s="9"/>
      <c r="D962" s="9"/>
      <c r="E962" s="9"/>
      <c r="F962" s="9"/>
      <c r="G962" s="9"/>
    </row>
    <row r="963">
      <c r="A963" s="8"/>
      <c r="B963" s="9"/>
      <c r="C963" s="9"/>
      <c r="D963" s="9"/>
      <c r="E963" s="9"/>
      <c r="F963" s="9"/>
      <c r="G963" s="9"/>
    </row>
    <row r="964">
      <c r="A964" s="8"/>
      <c r="B964" s="9"/>
      <c r="C964" s="9"/>
      <c r="D964" s="9"/>
      <c r="E964" s="9"/>
      <c r="F964" s="9"/>
      <c r="G964" s="9"/>
    </row>
    <row r="965">
      <c r="A965" s="8"/>
      <c r="B965" s="9"/>
      <c r="C965" s="9"/>
      <c r="D965" s="9"/>
      <c r="E965" s="9"/>
      <c r="F965" s="9"/>
      <c r="G965" s="9"/>
    </row>
    <row r="966">
      <c r="A966" s="8"/>
      <c r="B966" s="9"/>
      <c r="C966" s="9"/>
      <c r="D966" s="9"/>
      <c r="E966" s="9"/>
      <c r="F966" s="9"/>
      <c r="G966" s="9"/>
    </row>
    <row r="967">
      <c r="A967" s="8"/>
      <c r="B967" s="9"/>
      <c r="C967" s="9"/>
      <c r="D967" s="9"/>
      <c r="E967" s="9"/>
      <c r="F967" s="9"/>
      <c r="G967" s="9"/>
    </row>
    <row r="968">
      <c r="A968" s="8"/>
      <c r="B968" s="9"/>
      <c r="C968" s="9"/>
      <c r="D968" s="9"/>
      <c r="E968" s="9"/>
      <c r="F968" s="9"/>
      <c r="G968" s="9"/>
    </row>
    <row r="969">
      <c r="A969" s="8"/>
      <c r="B969" s="9"/>
      <c r="C969" s="9"/>
      <c r="D969" s="9"/>
      <c r="E969" s="9"/>
      <c r="F969" s="9"/>
      <c r="G969" s="9"/>
    </row>
    <row r="970">
      <c r="A970" s="8"/>
      <c r="B970" s="9"/>
      <c r="C970" s="9"/>
      <c r="D970" s="9"/>
      <c r="E970" s="9"/>
      <c r="F970" s="9"/>
      <c r="G970" s="9"/>
    </row>
    <row r="971">
      <c r="A971" s="8"/>
      <c r="B971" s="9"/>
      <c r="C971" s="9"/>
      <c r="D971" s="9"/>
      <c r="E971" s="9"/>
      <c r="F971" s="9"/>
      <c r="G971" s="9"/>
    </row>
    <row r="972">
      <c r="A972" s="8"/>
      <c r="B972" s="9"/>
      <c r="C972" s="9"/>
      <c r="D972" s="9"/>
      <c r="E972" s="9"/>
      <c r="F972" s="9"/>
      <c r="G972" s="9"/>
    </row>
    <row r="973">
      <c r="A973" s="8"/>
      <c r="B973" s="9"/>
      <c r="C973" s="9"/>
      <c r="D973" s="9"/>
      <c r="E973" s="9"/>
      <c r="F973" s="9"/>
      <c r="G973" s="9"/>
    </row>
    <row r="974">
      <c r="A974" s="8"/>
      <c r="B974" s="9"/>
      <c r="C974" s="9"/>
      <c r="D974" s="9"/>
      <c r="E974" s="9"/>
      <c r="F974" s="9"/>
      <c r="G974" s="9"/>
    </row>
    <row r="975">
      <c r="A975" s="8"/>
      <c r="B975" s="9"/>
      <c r="C975" s="9"/>
      <c r="D975" s="9"/>
      <c r="E975" s="9"/>
      <c r="F975" s="9"/>
      <c r="G975" s="9"/>
    </row>
    <row r="976">
      <c r="A976" s="8"/>
      <c r="B976" s="9"/>
      <c r="C976" s="9"/>
      <c r="D976" s="9"/>
      <c r="E976" s="9"/>
      <c r="F976" s="9"/>
      <c r="G976" s="9"/>
    </row>
    <row r="977">
      <c r="A977" s="8"/>
      <c r="B977" s="9"/>
      <c r="C977" s="9"/>
      <c r="D977" s="9"/>
      <c r="E977" s="9"/>
      <c r="F977" s="9"/>
      <c r="G977" s="9"/>
    </row>
    <row r="978">
      <c r="A978" s="8"/>
      <c r="B978" s="9"/>
      <c r="C978" s="9"/>
      <c r="D978" s="9"/>
      <c r="E978" s="9"/>
      <c r="F978" s="9"/>
      <c r="G978" s="9"/>
    </row>
    <row r="979">
      <c r="A979" s="8"/>
      <c r="B979" s="9"/>
      <c r="C979" s="9"/>
      <c r="D979" s="9"/>
      <c r="E979" s="9"/>
      <c r="F979" s="9"/>
      <c r="G979" s="9"/>
    </row>
    <row r="980">
      <c r="A980" s="8"/>
      <c r="B980" s="9"/>
      <c r="C980" s="9"/>
      <c r="D980" s="9"/>
      <c r="E980" s="9"/>
      <c r="F980" s="9"/>
      <c r="G980" s="9"/>
    </row>
    <row r="981">
      <c r="A981" s="8"/>
      <c r="B981" s="9"/>
      <c r="C981" s="9"/>
      <c r="D981" s="9"/>
      <c r="E981" s="9"/>
      <c r="F981" s="9"/>
      <c r="G981" s="9"/>
    </row>
    <row r="982">
      <c r="A982" s="8"/>
      <c r="B982" s="9"/>
      <c r="C982" s="9"/>
      <c r="D982" s="9"/>
      <c r="E982" s="9"/>
      <c r="F982" s="9"/>
      <c r="G982" s="9"/>
    </row>
    <row r="983">
      <c r="A983" s="8"/>
      <c r="B983" s="9"/>
      <c r="C983" s="9"/>
      <c r="D983" s="9"/>
      <c r="E983" s="9"/>
      <c r="F983" s="9"/>
      <c r="G983" s="9"/>
    </row>
    <row r="984">
      <c r="A984" s="8"/>
      <c r="B984" s="9"/>
      <c r="C984" s="9"/>
      <c r="D984" s="9"/>
      <c r="E984" s="9"/>
      <c r="F984" s="9"/>
      <c r="G984" s="9"/>
    </row>
    <row r="985">
      <c r="A985" s="8"/>
      <c r="B985" s="9"/>
      <c r="C985" s="9"/>
      <c r="D985" s="9"/>
      <c r="E985" s="9"/>
      <c r="F985" s="9"/>
      <c r="G985" s="9"/>
    </row>
    <row r="986">
      <c r="A986" s="8"/>
      <c r="B986" s="9"/>
      <c r="C986" s="9"/>
      <c r="D986" s="9"/>
      <c r="E986" s="9"/>
      <c r="F986" s="9"/>
      <c r="G986" s="9"/>
    </row>
    <row r="987">
      <c r="A987" s="8"/>
      <c r="B987" s="9"/>
      <c r="C987" s="9"/>
      <c r="D987" s="9"/>
      <c r="E987" s="9"/>
      <c r="F987" s="9"/>
      <c r="G987" s="9"/>
    </row>
    <row r="988">
      <c r="A988" s="8"/>
      <c r="B988" s="9"/>
      <c r="C988" s="9"/>
      <c r="D988" s="9"/>
      <c r="E988" s="9"/>
      <c r="F988" s="9"/>
      <c r="G988" s="9"/>
    </row>
    <row r="989">
      <c r="A989" s="8"/>
      <c r="B989" s="9"/>
      <c r="C989" s="9"/>
      <c r="D989" s="9"/>
      <c r="E989" s="9"/>
      <c r="F989" s="9"/>
      <c r="G989" s="9"/>
    </row>
    <row r="990">
      <c r="A990" s="8"/>
      <c r="B990" s="9"/>
      <c r="C990" s="9"/>
      <c r="D990" s="9"/>
      <c r="E990" s="9"/>
      <c r="F990" s="9"/>
      <c r="G990" s="9"/>
    </row>
    <row r="991">
      <c r="A991" s="8"/>
      <c r="B991" s="9"/>
      <c r="C991" s="9"/>
      <c r="D991" s="9"/>
      <c r="E991" s="9"/>
      <c r="F991" s="9"/>
      <c r="G991" s="9"/>
    </row>
    <row r="992">
      <c r="A992" s="8"/>
      <c r="B992" s="9"/>
      <c r="C992" s="9"/>
      <c r="D992" s="9"/>
      <c r="E992" s="9"/>
      <c r="F992" s="9"/>
      <c r="G992" s="9"/>
    </row>
    <row r="993">
      <c r="A993" s="8"/>
      <c r="B993" s="9"/>
      <c r="C993" s="9"/>
      <c r="D993" s="9"/>
      <c r="E993" s="9"/>
      <c r="F993" s="9"/>
      <c r="G993" s="9"/>
    </row>
    <row r="994">
      <c r="A994" s="8"/>
      <c r="B994" s="9"/>
      <c r="C994" s="9"/>
      <c r="D994" s="9"/>
      <c r="E994" s="9"/>
      <c r="F994" s="9"/>
      <c r="G994" s="9"/>
    </row>
    <row r="995">
      <c r="A995" s="8"/>
      <c r="B995" s="9"/>
      <c r="C995" s="9"/>
      <c r="D995" s="9"/>
      <c r="E995" s="9"/>
      <c r="F995" s="9"/>
      <c r="G995" s="9"/>
    </row>
    <row r="996">
      <c r="A996" s="8"/>
      <c r="B996" s="9"/>
      <c r="C996" s="9"/>
      <c r="D996" s="9"/>
      <c r="E996" s="9"/>
      <c r="F996" s="9"/>
      <c r="G996" s="9"/>
    </row>
    <row r="997">
      <c r="A997" s="8"/>
      <c r="B997" s="9"/>
      <c r="C997" s="9"/>
      <c r="D997" s="9"/>
      <c r="E997" s="9"/>
      <c r="F997" s="9"/>
      <c r="G997" s="9"/>
    </row>
    <row r="998">
      <c r="A998" s="8"/>
      <c r="B998" s="9"/>
      <c r="C998" s="9"/>
      <c r="D998" s="9"/>
      <c r="E998" s="9"/>
      <c r="F998" s="9"/>
      <c r="G998" s="9"/>
    </row>
    <row r="999">
      <c r="A999" s="8"/>
      <c r="B999" s="9"/>
      <c r="C999" s="9"/>
      <c r="D999" s="9"/>
      <c r="E999" s="9"/>
      <c r="F999" s="9"/>
      <c r="G999" s="9"/>
    </row>
    <row r="1000">
      <c r="A1000" s="8"/>
      <c r="B1000" s="9"/>
      <c r="C1000" s="9"/>
      <c r="D1000" s="9"/>
      <c r="E1000" s="9"/>
      <c r="F1000" s="9"/>
      <c r="G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5"/>
    <col customWidth="1" min="10" max="10" width="18.38"/>
    <col customWidth="1" min="12" max="12" width="37.63"/>
  </cols>
  <sheetData>
    <row r="1">
      <c r="A1" s="12" t="s">
        <v>0</v>
      </c>
      <c r="B1" s="13" t="s">
        <v>12</v>
      </c>
      <c r="C1" s="13" t="s">
        <v>61</v>
      </c>
      <c r="E1" s="14" t="s">
        <v>62</v>
      </c>
      <c r="G1" s="15" t="s">
        <v>63</v>
      </c>
      <c r="I1" s="15" t="s">
        <v>64</v>
      </c>
      <c r="L1" s="16" t="s">
        <v>65</v>
      </c>
      <c r="N1" s="17"/>
    </row>
    <row r="2">
      <c r="A2" s="18"/>
      <c r="B2" s="4"/>
      <c r="C2" s="11"/>
      <c r="E2" s="19" t="s">
        <v>12</v>
      </c>
      <c r="F2" s="20" t="s">
        <v>61</v>
      </c>
      <c r="L2" s="21">
        <v>0.0226</v>
      </c>
      <c r="M2" s="21">
        <v>-6.0E-4</v>
      </c>
      <c r="N2" s="17"/>
    </row>
    <row r="3">
      <c r="A3" s="22" t="s">
        <v>7</v>
      </c>
      <c r="B3" s="23">
        <v>166500.0</v>
      </c>
      <c r="C3" s="24">
        <v>210.32</v>
      </c>
      <c r="E3" s="25">
        <f t="shared" ref="E3:F3" si="1">(B3/B4)-1</f>
        <v>0.04981084489</v>
      </c>
      <c r="F3" s="25">
        <f t="shared" si="1"/>
        <v>0</v>
      </c>
      <c r="G3" s="9">
        <f t="shared" ref="G3:G54" si="3">PRODUCT(1+$E$3:E3)-1</f>
        <v>0.04981084489</v>
      </c>
      <c r="H3" s="9">
        <f t="shared" ref="H3:H54" si="4">PRODUCT(1+$F$3:F3)-1</f>
        <v>0</v>
      </c>
      <c r="I3" s="26">
        <f>CORREL(E3:E54, F3:F54)</f>
        <v>0.2430964875</v>
      </c>
      <c r="L3" s="16" t="s">
        <v>66</v>
      </c>
    </row>
    <row r="4">
      <c r="A4" s="27" t="s">
        <v>8</v>
      </c>
      <c r="B4" s="28">
        <v>158600.0</v>
      </c>
      <c r="C4" s="28">
        <v>210.32</v>
      </c>
      <c r="E4" s="25">
        <f t="shared" ref="E4:F4" si="2">(B4/B5)-1</f>
        <v>-0.01183800623</v>
      </c>
      <c r="F4" s="25">
        <f t="shared" si="2"/>
        <v>-0.1211032177</v>
      </c>
      <c r="G4" s="9">
        <f t="shared" si="3"/>
        <v>-0.01183800623</v>
      </c>
      <c r="H4" s="9">
        <f t="shared" si="4"/>
        <v>-0.1211032177</v>
      </c>
      <c r="I4" s="29"/>
      <c r="L4" s="30">
        <f t="shared" ref="L4:M4" si="5">_xlfn.STDEV.S(E3:E54)*SQRT(53)</f>
        <v>0.3397100199</v>
      </c>
      <c r="M4" s="30">
        <f t="shared" si="5"/>
        <v>0.3366699795</v>
      </c>
      <c r="N4" s="17"/>
    </row>
    <row r="5">
      <c r="A5" s="22" t="s">
        <v>9</v>
      </c>
      <c r="B5" s="31">
        <v>160500.0</v>
      </c>
      <c r="C5" s="31">
        <v>239.3</v>
      </c>
      <c r="E5" s="25">
        <f t="shared" ref="E5:F5" si="6">(B5/B6)-1</f>
        <v>0.05522682446</v>
      </c>
      <c r="F5" s="25">
        <f t="shared" si="6"/>
        <v>0.0005853821709</v>
      </c>
      <c r="G5" s="9">
        <f t="shared" si="3"/>
        <v>0.05522682446</v>
      </c>
      <c r="H5" s="9">
        <f t="shared" si="4"/>
        <v>0.0005853821709</v>
      </c>
      <c r="I5" s="32"/>
      <c r="L5" s="29"/>
    </row>
    <row r="6">
      <c r="A6" s="27" t="s">
        <v>10</v>
      </c>
      <c r="B6" s="28">
        <v>152100.0</v>
      </c>
      <c r="C6" s="28">
        <v>239.16</v>
      </c>
      <c r="E6" s="25">
        <f t="shared" ref="E6:F6" si="7">(B6/B7)-1</f>
        <v>0.02149093351</v>
      </c>
      <c r="F6" s="25">
        <f t="shared" si="7"/>
        <v>0.0001672800268</v>
      </c>
      <c r="G6" s="9">
        <f t="shared" si="3"/>
        <v>0.02149093351</v>
      </c>
      <c r="H6" s="9">
        <f t="shared" si="4"/>
        <v>0.0001672800268</v>
      </c>
      <c r="L6" s="32"/>
    </row>
    <row r="7">
      <c r="A7" s="22" t="s">
        <v>11</v>
      </c>
      <c r="B7" s="31">
        <v>148900.0</v>
      </c>
      <c r="C7" s="31">
        <v>239.12</v>
      </c>
      <c r="E7" s="25">
        <f t="shared" ref="E7:F7" si="8">(B7/B8)-1</f>
        <v>0.07122302158</v>
      </c>
      <c r="F7" s="25">
        <f t="shared" si="8"/>
        <v>-0.03338992643</v>
      </c>
      <c r="G7" s="9">
        <f t="shared" si="3"/>
        <v>0.07122302158</v>
      </c>
      <c r="H7" s="9">
        <f t="shared" si="4"/>
        <v>-0.03338992643</v>
      </c>
    </row>
    <row r="8">
      <c r="A8" s="27" t="s">
        <v>13</v>
      </c>
      <c r="B8" s="28">
        <v>139000.0</v>
      </c>
      <c r="C8" s="28">
        <v>247.38</v>
      </c>
      <c r="E8" s="25">
        <f t="shared" ref="E8:F8" si="9">(B8/B9)-1</f>
        <v>0.08697037662</v>
      </c>
      <c r="F8" s="25">
        <f t="shared" si="9"/>
        <v>0.09218543046</v>
      </c>
      <c r="G8" s="9">
        <f t="shared" si="3"/>
        <v>0.08697037662</v>
      </c>
      <c r="H8" s="9">
        <f t="shared" si="4"/>
        <v>0.09218543046</v>
      </c>
    </row>
    <row r="9">
      <c r="A9" s="27" t="s">
        <v>14</v>
      </c>
      <c r="B9" s="28">
        <v>127878.37</v>
      </c>
      <c r="C9" s="31">
        <v>226.5</v>
      </c>
      <c r="E9" s="25">
        <f t="shared" ref="E9:F9" si="10">(B9/B10)-1</f>
        <v>0.09829061958</v>
      </c>
      <c r="F9" s="25">
        <f t="shared" si="10"/>
        <v>-0.025890246</v>
      </c>
      <c r="G9" s="9">
        <f t="shared" si="3"/>
        <v>0.09829061958</v>
      </c>
      <c r="H9" s="9">
        <f t="shared" si="4"/>
        <v>-0.025890246</v>
      </c>
    </row>
    <row r="10">
      <c r="A10" s="22" t="s">
        <v>15</v>
      </c>
      <c r="B10" s="31">
        <v>116434.0</v>
      </c>
      <c r="C10" s="28">
        <v>232.52</v>
      </c>
      <c r="E10" s="25">
        <f t="shared" ref="E10:F10" si="11">(B10/B11)-1</f>
        <v>0.1006585385</v>
      </c>
      <c r="F10" s="25">
        <f t="shared" si="11"/>
        <v>0.02274026831</v>
      </c>
      <c r="G10" s="9">
        <f t="shared" si="3"/>
        <v>0.1006585385</v>
      </c>
      <c r="H10" s="9">
        <f t="shared" si="4"/>
        <v>0.02274026831</v>
      </c>
    </row>
    <row r="11">
      <c r="A11" s="27" t="s">
        <v>16</v>
      </c>
      <c r="B11" s="28">
        <v>105785.76</v>
      </c>
      <c r="C11" s="31">
        <v>227.35</v>
      </c>
      <c r="E11" s="25">
        <f t="shared" ref="E11:F11" si="12">(B11/B12)-1</f>
        <v>-0.0238750953</v>
      </c>
      <c r="F11" s="25">
        <f t="shared" si="12"/>
        <v>0.005128431849</v>
      </c>
      <c r="G11" s="9">
        <f t="shared" si="3"/>
        <v>-0.0238750953</v>
      </c>
      <c r="H11" s="9">
        <f t="shared" si="4"/>
        <v>0.005128431849</v>
      </c>
    </row>
    <row r="12">
      <c r="A12" s="22" t="s">
        <v>17</v>
      </c>
      <c r="B12" s="31">
        <v>108373.18</v>
      </c>
      <c r="C12" s="28">
        <v>226.19</v>
      </c>
      <c r="E12" s="25">
        <f t="shared" ref="E12:F12" si="13">(B12/B13)-1</f>
        <v>0.004612535179</v>
      </c>
      <c r="F12" s="25">
        <f t="shared" si="13"/>
        <v>-0.01455147475</v>
      </c>
      <c r="G12" s="9">
        <f t="shared" si="3"/>
        <v>0.004612535179</v>
      </c>
      <c r="H12" s="9">
        <f t="shared" si="4"/>
        <v>-0.01455147475</v>
      </c>
    </row>
    <row r="13">
      <c r="A13" s="27" t="s">
        <v>18</v>
      </c>
      <c r="B13" s="28">
        <v>107875.6</v>
      </c>
      <c r="C13" s="31">
        <v>229.53</v>
      </c>
      <c r="E13" s="25">
        <f t="shared" ref="E13:F13" si="14">(B13/B14)-1</f>
        <v>0.07860693652</v>
      </c>
      <c r="F13" s="25">
        <f t="shared" si="14"/>
        <v>-0.01582197067</v>
      </c>
      <c r="G13" s="9">
        <f t="shared" si="3"/>
        <v>0.07860693652</v>
      </c>
      <c r="H13" s="9">
        <f t="shared" si="4"/>
        <v>-0.01582197067</v>
      </c>
    </row>
    <row r="14">
      <c r="A14" s="22" t="s">
        <v>19</v>
      </c>
      <c r="B14" s="31">
        <v>100013.82</v>
      </c>
      <c r="C14" s="28">
        <v>233.22</v>
      </c>
      <c r="E14" s="25">
        <f t="shared" ref="E14:F14" si="15">(B14/B15)-1</f>
        <v>0.06012663159</v>
      </c>
      <c r="F14" s="25">
        <f t="shared" si="15"/>
        <v>0.05677647379</v>
      </c>
      <c r="G14" s="9">
        <f t="shared" si="3"/>
        <v>0.06012663159</v>
      </c>
      <c r="H14" s="9">
        <f t="shared" si="4"/>
        <v>0.05677647379</v>
      </c>
    </row>
    <row r="15">
      <c r="A15" s="27" t="s">
        <v>20</v>
      </c>
      <c r="B15" s="28">
        <v>94341.39</v>
      </c>
      <c r="C15" s="31">
        <v>220.69</v>
      </c>
      <c r="E15" s="25">
        <f t="shared" ref="E15:F15" si="16">(B15/B16)-1</f>
        <v>-0.02469136185</v>
      </c>
      <c r="F15" s="25">
        <f t="shared" si="16"/>
        <v>-0.05965315949</v>
      </c>
      <c r="G15" s="9">
        <f t="shared" si="3"/>
        <v>-0.02469136185</v>
      </c>
      <c r="H15" s="9">
        <f t="shared" si="4"/>
        <v>-0.05965315949</v>
      </c>
    </row>
    <row r="16">
      <c r="A16" s="22" t="s">
        <v>21</v>
      </c>
      <c r="B16" s="31">
        <v>96729.78</v>
      </c>
      <c r="C16" s="28">
        <v>234.69</v>
      </c>
      <c r="E16" s="25">
        <f t="shared" ref="E16:F16" si="17">(B16/B17)-1</f>
        <v>-0.007150218011</v>
      </c>
      <c r="F16" s="25">
        <f t="shared" si="17"/>
        <v>-0.03976924021</v>
      </c>
      <c r="G16" s="9">
        <f t="shared" si="3"/>
        <v>-0.007150218011</v>
      </c>
      <c r="H16" s="9">
        <f t="shared" si="4"/>
        <v>-0.03976924021</v>
      </c>
    </row>
    <row r="17">
      <c r="A17" s="27" t="s">
        <v>22</v>
      </c>
      <c r="B17" s="28">
        <v>97426.4</v>
      </c>
      <c r="C17" s="31">
        <v>244.41</v>
      </c>
      <c r="E17" s="25">
        <f t="shared" ref="E17:F17" si="18">(B17/B18)-1</f>
        <v>-0.08930224776</v>
      </c>
      <c r="F17" s="25">
        <f t="shared" si="18"/>
        <v>0.0007779870608</v>
      </c>
      <c r="G17" s="9">
        <f t="shared" si="3"/>
        <v>-0.08930224776</v>
      </c>
      <c r="H17" s="9">
        <f t="shared" si="4"/>
        <v>0.0007779870608</v>
      </c>
    </row>
    <row r="18">
      <c r="A18" s="22" t="s">
        <v>23</v>
      </c>
      <c r="B18" s="31">
        <v>106979.95</v>
      </c>
      <c r="C18" s="28">
        <v>244.22</v>
      </c>
      <c r="E18" s="25">
        <f t="shared" ref="E18:F18" si="19">(B18/B19)-1</f>
        <v>0.08805665546</v>
      </c>
      <c r="F18" s="25">
        <f t="shared" si="19"/>
        <v>0.08924668837</v>
      </c>
      <c r="G18" s="9">
        <f t="shared" si="3"/>
        <v>0.08805665546</v>
      </c>
      <c r="H18" s="9">
        <f t="shared" si="4"/>
        <v>0.08924668837</v>
      </c>
    </row>
    <row r="19">
      <c r="A19" s="27" t="s">
        <v>24</v>
      </c>
      <c r="B19" s="28">
        <v>98322.04</v>
      </c>
      <c r="C19" s="31">
        <v>224.21</v>
      </c>
      <c r="E19" s="25">
        <f t="shared" ref="E19:F19" si="20">(B19/B20)-1</f>
        <v>0.009192990812</v>
      </c>
      <c r="F19" s="25">
        <f t="shared" si="20"/>
        <v>0.05243146827</v>
      </c>
      <c r="G19" s="9">
        <f t="shared" si="3"/>
        <v>0.009192990812</v>
      </c>
      <c r="H19" s="9">
        <f t="shared" si="4"/>
        <v>0.05243146827</v>
      </c>
    </row>
    <row r="20">
      <c r="A20" s="22" t="s">
        <v>25</v>
      </c>
      <c r="B20" s="31">
        <v>97426.4</v>
      </c>
      <c r="C20" s="28">
        <v>213.04</v>
      </c>
      <c r="E20" s="25">
        <f t="shared" ref="E20:F20" si="21">(B20/B21)-1</f>
        <v>0.03707628844</v>
      </c>
      <c r="F20" s="25">
        <f t="shared" si="21"/>
        <v>-0.01539030365</v>
      </c>
      <c r="G20" s="9">
        <f t="shared" si="3"/>
        <v>0.03707628844</v>
      </c>
      <c r="H20" s="9">
        <f t="shared" si="4"/>
        <v>-0.01539030365</v>
      </c>
    </row>
    <row r="21">
      <c r="A21" s="27" t="s">
        <v>26</v>
      </c>
      <c r="B21" s="28">
        <v>93943.33</v>
      </c>
      <c r="C21" s="31">
        <v>216.37</v>
      </c>
      <c r="E21" s="25">
        <f t="shared" ref="E21:F21" si="22">(B21/B22)-1</f>
        <v>0.05650350223</v>
      </c>
      <c r="F21" s="25">
        <f t="shared" si="22"/>
        <v>-0.01430458749</v>
      </c>
      <c r="G21" s="9">
        <f t="shared" si="3"/>
        <v>0.05650350223</v>
      </c>
      <c r="H21" s="9">
        <f t="shared" si="4"/>
        <v>-0.01430458749</v>
      </c>
    </row>
    <row r="22">
      <c r="A22" s="27" t="s">
        <v>27</v>
      </c>
      <c r="B22" s="28">
        <v>88919.09</v>
      </c>
      <c r="C22" s="28">
        <v>219.51</v>
      </c>
      <c r="E22" s="25">
        <f t="shared" ref="E22:F22" si="23">(B22/B23)-1</f>
        <v>0.07743089959</v>
      </c>
      <c r="F22" s="25">
        <f t="shared" si="23"/>
        <v>-0.001228501229</v>
      </c>
      <c r="G22" s="9">
        <f t="shared" si="3"/>
        <v>0.07743089959</v>
      </c>
      <c r="H22" s="9">
        <f t="shared" si="4"/>
        <v>-0.001228501229</v>
      </c>
    </row>
    <row r="23">
      <c r="A23" s="22" t="s">
        <v>28</v>
      </c>
      <c r="B23" s="31">
        <v>82528.81</v>
      </c>
      <c r="C23" s="31">
        <v>219.78</v>
      </c>
      <c r="E23" s="25">
        <f t="shared" ref="E23:F23" si="24">(B23/B24)-1</f>
        <v>0.03735982148</v>
      </c>
      <c r="F23" s="25">
        <f t="shared" si="24"/>
        <v>-0.05054432348</v>
      </c>
      <c r="G23" s="9">
        <f t="shared" si="3"/>
        <v>0.03735982148</v>
      </c>
      <c r="H23" s="9">
        <f t="shared" si="4"/>
        <v>-0.05054432348</v>
      </c>
    </row>
    <row r="24">
      <c r="A24" s="27" t="s">
        <v>29</v>
      </c>
      <c r="B24" s="28">
        <v>79556.59</v>
      </c>
      <c r="C24" s="28">
        <v>231.48</v>
      </c>
      <c r="E24" s="25">
        <f t="shared" ref="E24:F24" si="25">(B24/B25)-1</f>
        <v>0.06498679084</v>
      </c>
      <c r="F24" s="25">
        <f t="shared" si="25"/>
        <v>0.01459566075</v>
      </c>
      <c r="G24" s="9">
        <f t="shared" si="3"/>
        <v>0.06498679084</v>
      </c>
      <c r="H24" s="9">
        <f t="shared" si="4"/>
        <v>0.01459566075</v>
      </c>
    </row>
    <row r="25">
      <c r="A25" s="22" t="s">
        <v>30</v>
      </c>
      <c r="B25" s="31">
        <v>74701.95</v>
      </c>
      <c r="C25" s="31">
        <v>228.15</v>
      </c>
      <c r="E25" s="25">
        <f t="shared" ref="E25:F25" si="26">(B25/B26)-1</f>
        <v>0.08489211705</v>
      </c>
      <c r="F25" s="25">
        <f t="shared" si="26"/>
        <v>-0.01799164981</v>
      </c>
      <c r="G25" s="9">
        <f t="shared" si="3"/>
        <v>0.08489211705</v>
      </c>
      <c r="H25" s="9">
        <f t="shared" si="4"/>
        <v>-0.01799164981</v>
      </c>
    </row>
    <row r="26">
      <c r="A26" s="27" t="s">
        <v>31</v>
      </c>
      <c r="B26" s="28">
        <v>68856.57</v>
      </c>
      <c r="C26" s="28">
        <v>232.33</v>
      </c>
      <c r="E26" s="25">
        <f t="shared" ref="E26:F26" si="27">(B26/B27)-1</f>
        <v>-0.002869607918</v>
      </c>
      <c r="F26" s="25">
        <f t="shared" si="27"/>
        <v>0.01454148472</v>
      </c>
      <c r="G26" s="9">
        <f t="shared" si="3"/>
        <v>-0.002869607918</v>
      </c>
      <c r="H26" s="9">
        <f t="shared" si="4"/>
        <v>0.01454148472</v>
      </c>
    </row>
    <row r="27">
      <c r="A27" s="22" t="s">
        <v>32</v>
      </c>
      <c r="B27" s="31">
        <v>69054.73</v>
      </c>
      <c r="C27" s="31">
        <v>229.0</v>
      </c>
      <c r="E27" s="25">
        <f t="shared" ref="E27:F27" si="28">(B27/B28)-1</f>
        <v>-0.02380936225</v>
      </c>
      <c r="F27" s="25">
        <f t="shared" si="28"/>
        <v>0.0006991784653</v>
      </c>
      <c r="G27" s="9">
        <f t="shared" si="3"/>
        <v>-0.02380936225</v>
      </c>
      <c r="H27" s="9">
        <f t="shared" si="4"/>
        <v>0.0006991784653</v>
      </c>
    </row>
    <row r="28">
      <c r="A28" s="27" t="s">
        <v>33</v>
      </c>
      <c r="B28" s="28">
        <v>70738.98</v>
      </c>
      <c r="C28" s="28">
        <v>228.84</v>
      </c>
      <c r="E28" s="25">
        <f t="shared" ref="E28:F28" si="29">(B28/B29)-1</f>
        <v>-0.002793318534</v>
      </c>
      <c r="F28" s="25">
        <f t="shared" si="29"/>
        <v>-0.009479288404</v>
      </c>
      <c r="G28" s="9">
        <f t="shared" si="3"/>
        <v>-0.002793318534</v>
      </c>
      <c r="H28" s="9">
        <f t="shared" si="4"/>
        <v>-0.009479288404</v>
      </c>
    </row>
    <row r="29">
      <c r="A29" s="22" t="s">
        <v>34</v>
      </c>
      <c r="B29" s="31">
        <v>70937.13</v>
      </c>
      <c r="C29" s="31">
        <v>231.03</v>
      </c>
      <c r="E29" s="25">
        <f t="shared" ref="E29:F29" si="30">(B29/B30)-1</f>
        <v>-0.00278553764</v>
      </c>
      <c r="F29" s="25">
        <f t="shared" si="30"/>
        <v>0.0374511653</v>
      </c>
      <c r="G29" s="9">
        <f t="shared" si="3"/>
        <v>-0.00278553764</v>
      </c>
      <c r="H29" s="9">
        <f t="shared" si="4"/>
        <v>0.0374511653</v>
      </c>
    </row>
    <row r="30">
      <c r="A30" s="27" t="s">
        <v>35</v>
      </c>
      <c r="B30" s="28">
        <v>71135.28</v>
      </c>
      <c r="C30" s="28">
        <v>222.69</v>
      </c>
      <c r="E30" s="25">
        <f t="shared" ref="E30:F30" si="31">(B30/B31)-1</f>
        <v>0.04208995529</v>
      </c>
      <c r="F30" s="25">
        <f t="shared" si="31"/>
        <v>0.03697322468</v>
      </c>
      <c r="G30" s="9">
        <f t="shared" si="3"/>
        <v>0.04208995529</v>
      </c>
      <c r="H30" s="9">
        <f t="shared" si="4"/>
        <v>0.03697322468</v>
      </c>
    </row>
    <row r="31">
      <c r="A31" s="22" t="s">
        <v>36</v>
      </c>
      <c r="B31" s="31">
        <v>68262.13</v>
      </c>
      <c r="C31" s="31">
        <v>214.75</v>
      </c>
      <c r="E31" s="25">
        <f t="shared" ref="E31:F31" si="32">(B31/B32)-1</f>
        <v>0.04552342008</v>
      </c>
      <c r="F31" s="25">
        <f t="shared" si="32"/>
        <v>-0.07211372278</v>
      </c>
      <c r="G31" s="9">
        <f t="shared" si="3"/>
        <v>0.04552342008</v>
      </c>
      <c r="H31" s="9">
        <f t="shared" si="4"/>
        <v>-0.07211372278</v>
      </c>
    </row>
    <row r="32">
      <c r="A32" s="27" t="s">
        <v>37</v>
      </c>
      <c r="B32" s="28">
        <v>65289.91</v>
      </c>
      <c r="C32" s="28">
        <v>231.44</v>
      </c>
      <c r="E32" s="25">
        <f t="shared" ref="E32:F32" si="33">(B32/B33)-1</f>
        <v>-0.0178837464</v>
      </c>
      <c r="F32" s="25">
        <f t="shared" si="33"/>
        <v>0.02348206784</v>
      </c>
      <c r="G32" s="9">
        <f t="shared" si="3"/>
        <v>-0.0178837464</v>
      </c>
      <c r="H32" s="9">
        <f t="shared" si="4"/>
        <v>0.02348206784</v>
      </c>
    </row>
    <row r="33">
      <c r="A33" s="22" t="s">
        <v>38</v>
      </c>
      <c r="B33" s="31">
        <v>66478.8</v>
      </c>
      <c r="C33" s="31">
        <v>226.13</v>
      </c>
      <c r="E33" s="25">
        <f t="shared" ref="E33:F33" si="34">(B33/B34)-1</f>
        <v>0.07188516046</v>
      </c>
      <c r="F33" s="25">
        <f t="shared" si="34"/>
        <v>0.004932894854</v>
      </c>
      <c r="G33" s="9">
        <f t="shared" si="3"/>
        <v>0.07188516046</v>
      </c>
      <c r="H33" s="9">
        <f t="shared" si="4"/>
        <v>0.004932894854</v>
      </c>
    </row>
    <row r="34">
      <c r="A34" s="27" t="s">
        <v>39</v>
      </c>
      <c r="B34" s="28">
        <v>62020.45</v>
      </c>
      <c r="C34" s="28">
        <v>225.02</v>
      </c>
      <c r="E34" s="25">
        <f t="shared" ref="E34:F34" si="35">(B34/B35)-1</f>
        <v>-0.01105846114</v>
      </c>
      <c r="F34" s="25">
        <f t="shared" si="35"/>
        <v>0.007206481357</v>
      </c>
      <c r="G34" s="9">
        <f t="shared" si="3"/>
        <v>-0.01105846114</v>
      </c>
      <c r="H34" s="9">
        <f t="shared" si="4"/>
        <v>0.007206481357</v>
      </c>
    </row>
    <row r="35">
      <c r="A35" s="22" t="s">
        <v>40</v>
      </c>
      <c r="B35" s="31">
        <v>62713.97</v>
      </c>
      <c r="C35" s="31">
        <v>223.41</v>
      </c>
      <c r="E35" s="25">
        <f t="shared" ref="E35:F35" si="36">(B35/B36)-1</f>
        <v>0.04750434651</v>
      </c>
      <c r="F35" s="25">
        <f t="shared" si="36"/>
        <v>0.0004926108374</v>
      </c>
      <c r="G35" s="9">
        <f t="shared" si="3"/>
        <v>0.04750434651</v>
      </c>
      <c r="H35" s="9">
        <f t="shared" si="4"/>
        <v>0.0004926108374</v>
      </c>
    </row>
    <row r="36">
      <c r="A36" s="22" t="s">
        <v>41</v>
      </c>
      <c r="B36" s="31">
        <v>59869.89</v>
      </c>
      <c r="C36" s="28">
        <v>223.3</v>
      </c>
      <c r="E36" s="25">
        <f t="shared" ref="E36:F36" si="37">(B36/B37)-1</f>
        <v>0.02184886542</v>
      </c>
      <c r="F36" s="25">
        <f t="shared" si="37"/>
        <v>0.06490533645</v>
      </c>
      <c r="G36" s="9">
        <f t="shared" si="3"/>
        <v>0.02184886542</v>
      </c>
      <c r="H36" s="9">
        <f t="shared" si="4"/>
        <v>0.06490533645</v>
      </c>
    </row>
    <row r="37">
      <c r="A37" s="27" t="s">
        <v>42</v>
      </c>
      <c r="B37" s="28">
        <v>58589.77</v>
      </c>
      <c r="C37" s="31">
        <v>209.69</v>
      </c>
      <c r="E37" s="25">
        <f t="shared" ref="E37:F37" si="38">(B37/B38)-1</f>
        <v>0.02058314737</v>
      </c>
      <c r="F37" s="25">
        <f t="shared" si="38"/>
        <v>-0.01136256483</v>
      </c>
      <c r="G37" s="9">
        <f t="shared" si="3"/>
        <v>0.02058314737</v>
      </c>
      <c r="H37" s="9">
        <f t="shared" si="4"/>
        <v>-0.01136256483</v>
      </c>
    </row>
    <row r="38">
      <c r="A38" s="22" t="s">
        <v>43</v>
      </c>
      <c r="B38" s="31">
        <v>57408.13</v>
      </c>
      <c r="C38" s="28">
        <v>212.1</v>
      </c>
      <c r="E38" s="25">
        <f t="shared" ref="E38:F38" si="39">(B38/B39)-1</f>
        <v>-0.01353635111</v>
      </c>
      <c r="F38" s="25">
        <f t="shared" si="39"/>
        <v>-0.006882989184</v>
      </c>
      <c r="G38" s="9">
        <f t="shared" si="3"/>
        <v>-0.01353635111</v>
      </c>
      <c r="H38" s="9">
        <f t="shared" si="4"/>
        <v>-0.006882989184</v>
      </c>
    </row>
    <row r="39">
      <c r="A39" s="27" t="s">
        <v>44</v>
      </c>
      <c r="B39" s="28">
        <v>58195.89</v>
      </c>
      <c r="C39" s="31">
        <v>213.57</v>
      </c>
      <c r="E39" s="25">
        <f t="shared" ref="E39:F39" si="40">(B39/B40)-1</f>
        <v>0.05160131159</v>
      </c>
      <c r="F39" s="25">
        <f t="shared" si="40"/>
        <v>0.04175406078</v>
      </c>
      <c r="G39" s="9">
        <f t="shared" si="3"/>
        <v>0.05160131159</v>
      </c>
      <c r="H39" s="9">
        <f t="shared" si="4"/>
        <v>0.04175406078</v>
      </c>
    </row>
    <row r="40">
      <c r="A40" s="22" t="s">
        <v>45</v>
      </c>
      <c r="B40" s="31">
        <v>55340.26</v>
      </c>
      <c r="C40" s="28">
        <v>205.01</v>
      </c>
      <c r="E40" s="25">
        <f t="shared" ref="E40:F40" si="41">(B40/B41)-1</f>
        <v>0.03690028604</v>
      </c>
      <c r="F40" s="25">
        <f t="shared" si="41"/>
        <v>0.02000099507</v>
      </c>
      <c r="G40" s="9">
        <f t="shared" si="3"/>
        <v>0.03690028604</v>
      </c>
      <c r="H40" s="9">
        <f t="shared" si="4"/>
        <v>0.02000099507</v>
      </c>
    </row>
    <row r="41">
      <c r="A41" s="27" t="s">
        <v>46</v>
      </c>
      <c r="B41" s="28">
        <v>53370.86</v>
      </c>
      <c r="C41" s="31">
        <v>200.99</v>
      </c>
      <c r="E41" s="25">
        <f t="shared" ref="E41:F41" si="42">(B41/B42)-1</f>
        <v>-0.04577454968</v>
      </c>
      <c r="F41" s="25">
        <f t="shared" si="42"/>
        <v>-0.02237462912</v>
      </c>
      <c r="G41" s="9">
        <f t="shared" si="3"/>
        <v>-0.04577454968</v>
      </c>
      <c r="H41" s="9">
        <f t="shared" si="4"/>
        <v>-0.02237462912</v>
      </c>
    </row>
    <row r="42">
      <c r="A42" s="22" t="s">
        <v>47</v>
      </c>
      <c r="B42" s="31">
        <v>55931.08</v>
      </c>
      <c r="C42" s="28">
        <v>205.59</v>
      </c>
      <c r="E42" s="25">
        <f t="shared" ref="E42:F42" si="43">(B42/B43)-1</f>
        <v>0.0364962692</v>
      </c>
      <c r="F42" s="25">
        <f t="shared" si="43"/>
        <v>0.06490210297</v>
      </c>
      <c r="G42" s="9">
        <f t="shared" si="3"/>
        <v>0.0364962692</v>
      </c>
      <c r="H42" s="9">
        <f t="shared" si="4"/>
        <v>0.06490210297</v>
      </c>
    </row>
    <row r="43">
      <c r="A43" s="27" t="s">
        <v>48</v>
      </c>
      <c r="B43" s="28">
        <v>53961.68</v>
      </c>
      <c r="C43" s="31">
        <v>193.06</v>
      </c>
      <c r="E43" s="25">
        <f t="shared" ref="E43:F43" si="44">(B43/B44)-1</f>
        <v>0.009208082465</v>
      </c>
      <c r="F43" s="25">
        <f t="shared" si="44"/>
        <v>0.01621223287</v>
      </c>
      <c r="G43" s="9">
        <f t="shared" si="3"/>
        <v>0.009208082465</v>
      </c>
      <c r="H43" s="9">
        <f t="shared" si="4"/>
        <v>0.01621223287</v>
      </c>
    </row>
    <row r="44">
      <c r="A44" s="22" t="s">
        <v>49</v>
      </c>
      <c r="B44" s="31">
        <v>53469.33</v>
      </c>
      <c r="C44" s="28">
        <v>189.98</v>
      </c>
      <c r="E44" s="25">
        <f t="shared" ref="E44:F44" si="45">(B44/B45)-1</f>
        <v>-0.02513459492</v>
      </c>
      <c r="F44" s="25">
        <f t="shared" si="45"/>
        <v>0.005238372401</v>
      </c>
      <c r="G44" s="9">
        <f t="shared" si="3"/>
        <v>-0.02513459492</v>
      </c>
      <c r="H44" s="9">
        <f t="shared" si="4"/>
        <v>0.005238372401</v>
      </c>
    </row>
    <row r="45">
      <c r="A45" s="27" t="s">
        <v>50</v>
      </c>
      <c r="B45" s="28">
        <v>54847.91</v>
      </c>
      <c r="C45" s="31">
        <v>188.99</v>
      </c>
      <c r="E45" s="25">
        <f t="shared" ref="E45:F45" si="46">(B45/B46)-1</f>
        <v>0.007233257116</v>
      </c>
      <c r="F45" s="25">
        <f t="shared" si="46"/>
        <v>0.09489600834</v>
      </c>
      <c r="G45" s="9">
        <f t="shared" si="3"/>
        <v>0.007233257116</v>
      </c>
      <c r="H45" s="9">
        <f t="shared" si="4"/>
        <v>0.09489600834</v>
      </c>
    </row>
    <row r="46">
      <c r="A46" s="22" t="s">
        <v>51</v>
      </c>
      <c r="B46" s="31">
        <v>54454.03</v>
      </c>
      <c r="C46" s="28">
        <v>172.61</v>
      </c>
      <c r="E46" s="25">
        <f t="shared" ref="E46:F46" si="47">(B46/B47)-1</f>
        <v>0.001811590203</v>
      </c>
      <c r="F46" s="25">
        <f t="shared" si="47"/>
        <v>-0.06631687131</v>
      </c>
      <c r="G46" s="9">
        <f t="shared" si="3"/>
        <v>0.001811590203</v>
      </c>
      <c r="H46" s="9">
        <f t="shared" si="4"/>
        <v>-0.06631687131</v>
      </c>
    </row>
    <row r="47">
      <c r="A47" s="27" t="s">
        <v>52</v>
      </c>
      <c r="B47" s="28">
        <v>54355.56</v>
      </c>
      <c r="C47" s="31">
        <v>184.87</v>
      </c>
      <c r="E47" s="25">
        <f t="shared" ref="E47:F47" si="48">(B47/B48)-1</f>
        <v>-0.0160427459</v>
      </c>
      <c r="F47" s="25">
        <f t="shared" si="48"/>
        <v>0.08111111111</v>
      </c>
      <c r="G47" s="9">
        <f t="shared" si="3"/>
        <v>-0.0160427459</v>
      </c>
      <c r="H47" s="9">
        <f t="shared" si="4"/>
        <v>0.08111111111</v>
      </c>
    </row>
    <row r="48">
      <c r="A48" s="22" t="s">
        <v>53</v>
      </c>
      <c r="B48" s="31">
        <v>55241.79</v>
      </c>
      <c r="C48" s="28">
        <v>171.0</v>
      </c>
      <c r="E48" s="25">
        <f t="shared" ref="E48:F48" si="49">(B48/B49)-1</f>
        <v>-0.06256974499</v>
      </c>
      <c r="F48" s="25">
        <f t="shared" si="49"/>
        <v>-0.1127023661</v>
      </c>
      <c r="G48" s="9">
        <f t="shared" si="3"/>
        <v>-0.06256974499</v>
      </c>
      <c r="H48" s="9">
        <f t="shared" si="4"/>
        <v>-0.1127023661</v>
      </c>
    </row>
    <row r="49">
      <c r="A49" s="22" t="s">
        <v>54</v>
      </c>
      <c r="B49" s="31">
        <v>58928.96</v>
      </c>
      <c r="C49" s="31">
        <v>192.72</v>
      </c>
      <c r="E49" s="25">
        <f t="shared" ref="E49:F49" si="50">(B49/B50)-1</f>
        <v>-0.02431119012</v>
      </c>
      <c r="F49" s="25">
        <f t="shared" si="50"/>
        <v>-0.01778706488</v>
      </c>
      <c r="G49" s="9">
        <f t="shared" si="3"/>
        <v>-0.02431119012</v>
      </c>
      <c r="H49" s="9">
        <f t="shared" si="4"/>
        <v>-0.01778706488</v>
      </c>
    </row>
    <row r="50">
      <c r="A50" s="27" t="s">
        <v>55</v>
      </c>
      <c r="B50" s="28">
        <v>60397.29</v>
      </c>
      <c r="C50" s="28">
        <v>196.21</v>
      </c>
      <c r="E50" s="25">
        <f t="shared" ref="E50:F50" si="51">(B50/B51)-1</f>
        <v>0.1279708612</v>
      </c>
      <c r="F50" s="25">
        <f t="shared" si="51"/>
        <v>-0.00879009851</v>
      </c>
      <c r="G50" s="9">
        <f t="shared" si="3"/>
        <v>0.1279708612</v>
      </c>
      <c r="H50" s="9">
        <f t="shared" si="4"/>
        <v>-0.00879009851</v>
      </c>
    </row>
    <row r="51">
      <c r="A51" s="22" t="s">
        <v>56</v>
      </c>
      <c r="B51" s="31">
        <v>53545.08</v>
      </c>
      <c r="C51" s="31">
        <v>197.95</v>
      </c>
      <c r="E51" s="25">
        <f t="shared" ref="E51:F51" si="52">(B51/B52)-1</f>
        <v>0.01862185206</v>
      </c>
      <c r="F51" s="25">
        <f t="shared" si="52"/>
        <v>-0.00652446675</v>
      </c>
      <c r="G51" s="9">
        <f t="shared" si="3"/>
        <v>0.01862185206</v>
      </c>
      <c r="H51" s="9">
        <f t="shared" si="4"/>
        <v>-0.00652446675</v>
      </c>
    </row>
    <row r="52">
      <c r="A52" s="27" t="s">
        <v>57</v>
      </c>
      <c r="B52" s="28">
        <v>52566.2</v>
      </c>
      <c r="C52" s="28">
        <v>199.25</v>
      </c>
      <c r="E52" s="25">
        <f t="shared" ref="E52:F52" si="53">(B52/B53)-1</f>
        <v>-0.01467891525</v>
      </c>
      <c r="F52" s="25">
        <f t="shared" si="53"/>
        <v>-0.06138119465</v>
      </c>
      <c r="G52" s="9">
        <f t="shared" si="3"/>
        <v>-0.01467891525</v>
      </c>
      <c r="H52" s="9">
        <f t="shared" si="4"/>
        <v>-0.06138119465</v>
      </c>
    </row>
    <row r="53">
      <c r="A53" s="22" t="s">
        <v>58</v>
      </c>
      <c r="B53" s="31">
        <v>53349.31</v>
      </c>
      <c r="C53" s="31">
        <v>212.28</v>
      </c>
      <c r="E53" s="25">
        <f t="shared" ref="E53:F53" si="54">(B53/B54)-1</f>
        <v>-0.06357372271</v>
      </c>
      <c r="F53" s="25">
        <f t="shared" si="54"/>
        <v>-0.01985409548</v>
      </c>
      <c r="G53" s="9">
        <f t="shared" si="3"/>
        <v>-0.06357372271</v>
      </c>
      <c r="H53" s="9">
        <f t="shared" si="4"/>
        <v>-0.01985409548</v>
      </c>
    </row>
    <row r="54">
      <c r="A54" s="27" t="s">
        <v>59</v>
      </c>
      <c r="B54" s="28">
        <v>56971.18</v>
      </c>
      <c r="C54" s="28">
        <v>216.58</v>
      </c>
      <c r="E54" s="25">
        <f t="shared" ref="E54:F54" si="55">(B54/B1001)-1</f>
        <v>0.03928552926</v>
      </c>
      <c r="F54" s="25">
        <f t="shared" si="55"/>
        <v>-0.05291236663</v>
      </c>
      <c r="G54" s="33">
        <f t="shared" si="3"/>
        <v>0.03928552926</v>
      </c>
      <c r="H54" s="33">
        <f t="shared" si="4"/>
        <v>-0.05291236663</v>
      </c>
    </row>
    <row r="55" hidden="1">
      <c r="A55" s="34"/>
    </row>
    <row r="56" hidden="1">
      <c r="A56" s="34"/>
    </row>
    <row r="57" hidden="1">
      <c r="A57" s="34"/>
    </row>
    <row r="58" hidden="1">
      <c r="A58" s="34"/>
    </row>
    <row r="59" hidden="1">
      <c r="A59" s="34"/>
    </row>
    <row r="60" hidden="1">
      <c r="A60" s="34"/>
    </row>
    <row r="61" hidden="1">
      <c r="A61" s="34"/>
    </row>
    <row r="62" hidden="1">
      <c r="A62" s="34"/>
    </row>
    <row r="63" hidden="1">
      <c r="A63" s="34"/>
    </row>
    <row r="64" hidden="1">
      <c r="A64" s="34"/>
    </row>
    <row r="65" hidden="1">
      <c r="A65" s="34"/>
    </row>
    <row r="66" hidden="1">
      <c r="A66" s="34"/>
    </row>
    <row r="67" hidden="1">
      <c r="A67" s="34"/>
    </row>
    <row r="68" hidden="1">
      <c r="A68" s="34"/>
    </row>
    <row r="69" hidden="1">
      <c r="A69" s="34"/>
    </row>
    <row r="70" hidden="1">
      <c r="A70" s="34"/>
    </row>
    <row r="71" hidden="1">
      <c r="A71" s="34"/>
    </row>
    <row r="72" hidden="1">
      <c r="A72" s="34"/>
    </row>
    <row r="73" hidden="1">
      <c r="A73" s="34"/>
    </row>
    <row r="74" hidden="1">
      <c r="A74" s="34"/>
    </row>
    <row r="75" hidden="1">
      <c r="A75" s="34"/>
    </row>
    <row r="76" hidden="1">
      <c r="A76" s="34"/>
    </row>
    <row r="77" hidden="1">
      <c r="A77" s="34"/>
    </row>
    <row r="78" hidden="1">
      <c r="A78" s="34"/>
    </row>
    <row r="79" hidden="1">
      <c r="A79" s="34"/>
    </row>
    <row r="80" hidden="1">
      <c r="A80" s="34"/>
    </row>
    <row r="81" hidden="1">
      <c r="A81" s="34"/>
    </row>
    <row r="82" hidden="1">
      <c r="A82" s="34"/>
    </row>
    <row r="83" hidden="1">
      <c r="A83" s="34"/>
    </row>
    <row r="84" hidden="1">
      <c r="A84" s="34"/>
    </row>
    <row r="85" hidden="1">
      <c r="A85" s="34"/>
    </row>
    <row r="86" hidden="1">
      <c r="A86" s="34"/>
    </row>
    <row r="87" hidden="1">
      <c r="A87" s="34"/>
    </row>
    <row r="88" hidden="1">
      <c r="A88" s="34"/>
    </row>
    <row r="89" hidden="1">
      <c r="A89" s="34"/>
    </row>
    <row r="90" hidden="1">
      <c r="A90" s="34"/>
    </row>
    <row r="91" hidden="1">
      <c r="A91" s="34"/>
    </row>
    <row r="92" hidden="1">
      <c r="A92" s="34"/>
    </row>
    <row r="93" hidden="1">
      <c r="A93" s="34"/>
    </row>
    <row r="94" hidden="1">
      <c r="A94" s="34"/>
    </row>
    <row r="95" hidden="1">
      <c r="A95" s="34"/>
    </row>
    <row r="96" hidden="1">
      <c r="A96" s="34"/>
    </row>
    <row r="97" hidden="1">
      <c r="A97" s="34"/>
    </row>
    <row r="98" hidden="1">
      <c r="A98" s="34"/>
    </row>
    <row r="99" hidden="1">
      <c r="A99" s="34"/>
    </row>
    <row r="100" hidden="1">
      <c r="A100" s="34"/>
    </row>
    <row r="101" hidden="1">
      <c r="A101" s="34"/>
    </row>
    <row r="102" hidden="1">
      <c r="A102" s="34"/>
    </row>
    <row r="103" hidden="1">
      <c r="A103" s="34"/>
    </row>
    <row r="104" hidden="1">
      <c r="A104" s="34"/>
    </row>
    <row r="105" hidden="1">
      <c r="A105" s="34"/>
    </row>
    <row r="106" hidden="1">
      <c r="A106" s="34"/>
    </row>
    <row r="107" hidden="1">
      <c r="A107" s="34"/>
    </row>
    <row r="108" hidden="1">
      <c r="A108" s="34"/>
    </row>
    <row r="109" hidden="1">
      <c r="A109" s="34"/>
    </row>
    <row r="110" hidden="1">
      <c r="A110" s="34"/>
    </row>
    <row r="111" hidden="1">
      <c r="A111" s="34"/>
    </row>
    <row r="112" hidden="1">
      <c r="A112" s="34"/>
    </row>
    <row r="113" hidden="1">
      <c r="A113" s="34"/>
    </row>
    <row r="114" hidden="1">
      <c r="A114" s="34"/>
    </row>
    <row r="115" hidden="1">
      <c r="A115" s="34"/>
    </row>
    <row r="116" hidden="1">
      <c r="A116" s="34"/>
    </row>
    <row r="117" hidden="1">
      <c r="A117" s="34"/>
    </row>
    <row r="118" hidden="1">
      <c r="A118" s="34"/>
    </row>
    <row r="119" hidden="1">
      <c r="A119" s="34"/>
    </row>
    <row r="120" hidden="1">
      <c r="A120" s="34"/>
    </row>
    <row r="121" hidden="1">
      <c r="A121" s="34"/>
    </row>
    <row r="122" hidden="1">
      <c r="A122" s="34"/>
    </row>
    <row r="123" hidden="1">
      <c r="A123" s="34"/>
    </row>
    <row r="124" hidden="1">
      <c r="A124" s="34"/>
    </row>
    <row r="125" hidden="1">
      <c r="A125" s="34"/>
    </row>
    <row r="126" hidden="1">
      <c r="A126" s="34"/>
    </row>
    <row r="127" hidden="1">
      <c r="A127" s="34"/>
    </row>
    <row r="128" hidden="1">
      <c r="A128" s="34"/>
    </row>
    <row r="129" hidden="1">
      <c r="A129" s="34"/>
    </row>
    <row r="130" hidden="1">
      <c r="A130" s="34"/>
    </row>
    <row r="131" hidden="1">
      <c r="A131" s="34"/>
    </row>
    <row r="132" hidden="1">
      <c r="A132" s="34"/>
    </row>
    <row r="133" hidden="1">
      <c r="A133" s="34"/>
    </row>
    <row r="134" hidden="1">
      <c r="A134" s="34"/>
    </row>
    <row r="135" hidden="1">
      <c r="A135" s="34"/>
    </row>
    <row r="136" hidden="1">
      <c r="A136" s="34"/>
    </row>
    <row r="137" hidden="1">
      <c r="A137" s="34"/>
    </row>
    <row r="138" hidden="1">
      <c r="A138" s="34"/>
    </row>
    <row r="139" hidden="1">
      <c r="A139" s="34"/>
    </row>
    <row r="140" hidden="1">
      <c r="A140" s="34"/>
    </row>
    <row r="141" hidden="1">
      <c r="A141" s="34"/>
    </row>
    <row r="142" hidden="1">
      <c r="A142" s="34"/>
    </row>
    <row r="143" hidden="1">
      <c r="A143" s="34"/>
    </row>
    <row r="144" hidden="1">
      <c r="A144" s="34"/>
    </row>
    <row r="145" hidden="1">
      <c r="A145" s="34"/>
    </row>
    <row r="146" hidden="1">
      <c r="A146" s="34"/>
    </row>
    <row r="147" hidden="1">
      <c r="A147" s="34"/>
    </row>
    <row r="148" hidden="1">
      <c r="A148" s="34"/>
    </row>
    <row r="149" hidden="1">
      <c r="A149" s="34"/>
    </row>
    <row r="150" hidden="1">
      <c r="A150" s="34"/>
    </row>
    <row r="151" hidden="1">
      <c r="A151" s="34"/>
    </row>
    <row r="152" hidden="1">
      <c r="A152" s="34"/>
    </row>
    <row r="153" hidden="1">
      <c r="A153" s="34"/>
    </row>
    <row r="154" hidden="1">
      <c r="A154" s="34"/>
    </row>
    <row r="155" hidden="1">
      <c r="A155" s="34"/>
    </row>
    <row r="156" hidden="1">
      <c r="A156" s="34"/>
    </row>
    <row r="157" hidden="1">
      <c r="A157" s="34"/>
    </row>
    <row r="158" hidden="1">
      <c r="A158" s="34"/>
    </row>
    <row r="159" hidden="1">
      <c r="A159" s="34"/>
    </row>
    <row r="160" hidden="1">
      <c r="A160" s="34"/>
    </row>
    <row r="161" hidden="1">
      <c r="A161" s="34"/>
    </row>
    <row r="162" hidden="1">
      <c r="A162" s="34"/>
    </row>
    <row r="163" hidden="1">
      <c r="A163" s="34"/>
    </row>
    <row r="164" hidden="1">
      <c r="A164" s="34"/>
    </row>
    <row r="165" hidden="1">
      <c r="A165" s="34"/>
    </row>
    <row r="166" hidden="1">
      <c r="A166" s="34"/>
    </row>
    <row r="167" hidden="1">
      <c r="A167" s="34"/>
    </row>
    <row r="168" hidden="1">
      <c r="A168" s="34"/>
    </row>
    <row r="169" hidden="1">
      <c r="A169" s="34"/>
    </row>
    <row r="170" hidden="1">
      <c r="A170" s="34"/>
    </row>
    <row r="171" hidden="1">
      <c r="A171" s="34"/>
    </row>
    <row r="172" hidden="1">
      <c r="A172" s="34"/>
    </row>
    <row r="173" hidden="1">
      <c r="A173" s="34"/>
    </row>
    <row r="174" hidden="1">
      <c r="A174" s="34"/>
    </row>
    <row r="175" hidden="1">
      <c r="A175" s="34"/>
    </row>
    <row r="176" hidden="1">
      <c r="A176" s="34"/>
    </row>
    <row r="177" hidden="1">
      <c r="A177" s="34"/>
    </row>
    <row r="178" hidden="1">
      <c r="A178" s="34"/>
    </row>
    <row r="179" hidden="1">
      <c r="A179" s="34"/>
    </row>
    <row r="180" hidden="1">
      <c r="A180" s="34"/>
    </row>
    <row r="181" hidden="1">
      <c r="A181" s="34"/>
    </row>
    <row r="182" hidden="1">
      <c r="A182" s="34"/>
    </row>
    <row r="183" hidden="1">
      <c r="A183" s="34"/>
    </row>
    <row r="184" hidden="1">
      <c r="A184" s="34"/>
    </row>
    <row r="185" hidden="1">
      <c r="A185" s="34"/>
    </row>
    <row r="186" hidden="1">
      <c r="A186" s="34"/>
    </row>
    <row r="187" hidden="1">
      <c r="A187" s="34"/>
    </row>
    <row r="188" hidden="1">
      <c r="A188" s="34"/>
    </row>
    <row r="189" hidden="1">
      <c r="A189" s="34"/>
    </row>
    <row r="190" hidden="1">
      <c r="A190" s="34"/>
    </row>
    <row r="191" hidden="1">
      <c r="A191" s="34"/>
    </row>
    <row r="192" hidden="1">
      <c r="A192" s="34"/>
    </row>
    <row r="193" hidden="1">
      <c r="A193" s="34"/>
    </row>
    <row r="194" hidden="1">
      <c r="A194" s="34"/>
    </row>
    <row r="195" hidden="1">
      <c r="A195" s="34"/>
    </row>
    <row r="196" hidden="1">
      <c r="A196" s="34"/>
    </row>
    <row r="197" hidden="1">
      <c r="A197" s="34"/>
    </row>
    <row r="198" hidden="1">
      <c r="A198" s="34"/>
    </row>
    <row r="199" hidden="1">
      <c r="A199" s="34"/>
    </row>
    <row r="200" hidden="1">
      <c r="A200" s="34"/>
    </row>
    <row r="201" hidden="1">
      <c r="A201" s="34"/>
    </row>
    <row r="202" hidden="1">
      <c r="A202" s="34"/>
    </row>
    <row r="203" hidden="1">
      <c r="A203" s="34"/>
    </row>
    <row r="204" hidden="1">
      <c r="A204" s="34"/>
    </row>
    <row r="205" hidden="1">
      <c r="A205" s="34"/>
    </row>
    <row r="206" hidden="1">
      <c r="A206" s="34"/>
    </row>
    <row r="207" hidden="1">
      <c r="A207" s="34"/>
    </row>
    <row r="208" hidden="1">
      <c r="A208" s="34"/>
    </row>
    <row r="209" hidden="1">
      <c r="A209" s="34"/>
    </row>
    <row r="210" hidden="1">
      <c r="A210" s="34"/>
    </row>
    <row r="211" hidden="1">
      <c r="A211" s="34"/>
    </row>
    <row r="212" hidden="1">
      <c r="A212" s="34"/>
    </row>
    <row r="213" hidden="1">
      <c r="A213" s="34"/>
    </row>
    <row r="214" hidden="1">
      <c r="A214" s="34"/>
    </row>
    <row r="215" hidden="1">
      <c r="A215" s="34"/>
    </row>
    <row r="216" hidden="1">
      <c r="A216" s="34"/>
    </row>
    <row r="217" hidden="1">
      <c r="A217" s="34"/>
    </row>
    <row r="218" hidden="1">
      <c r="A218" s="34"/>
    </row>
    <row r="219" hidden="1">
      <c r="A219" s="34"/>
    </row>
    <row r="220" hidden="1">
      <c r="A220" s="34"/>
    </row>
    <row r="221" hidden="1">
      <c r="A221" s="34"/>
    </row>
    <row r="222" hidden="1">
      <c r="A222" s="34"/>
    </row>
    <row r="223" hidden="1">
      <c r="A223" s="34"/>
    </row>
    <row r="224" hidden="1">
      <c r="A224" s="34"/>
    </row>
    <row r="225" hidden="1">
      <c r="A225" s="34"/>
    </row>
    <row r="226" hidden="1">
      <c r="A226" s="34"/>
    </row>
    <row r="227" hidden="1">
      <c r="A227" s="34"/>
    </row>
    <row r="228" hidden="1">
      <c r="A228" s="34"/>
    </row>
    <row r="229" hidden="1">
      <c r="A229" s="34"/>
    </row>
    <row r="230" hidden="1">
      <c r="A230" s="34"/>
    </row>
    <row r="231" hidden="1">
      <c r="A231" s="34"/>
    </row>
    <row r="232" hidden="1">
      <c r="A232" s="34"/>
    </row>
    <row r="233" hidden="1">
      <c r="A233" s="34"/>
    </row>
    <row r="234" hidden="1">
      <c r="A234" s="34"/>
    </row>
    <row r="235" hidden="1">
      <c r="A235" s="34"/>
    </row>
    <row r="236" hidden="1">
      <c r="A236" s="34"/>
    </row>
    <row r="237" hidden="1">
      <c r="A237" s="34"/>
    </row>
    <row r="238" hidden="1">
      <c r="A238" s="34"/>
    </row>
    <row r="239" hidden="1">
      <c r="A239" s="34"/>
    </row>
    <row r="240" hidden="1">
      <c r="A240" s="34"/>
    </row>
    <row r="241" hidden="1">
      <c r="A241" s="34"/>
    </row>
    <row r="242" hidden="1">
      <c r="A242" s="34"/>
    </row>
    <row r="243" hidden="1">
      <c r="A243" s="34"/>
    </row>
    <row r="244" hidden="1">
      <c r="A244" s="34"/>
    </row>
    <row r="245" hidden="1">
      <c r="A245" s="34"/>
    </row>
    <row r="246" hidden="1">
      <c r="A246" s="34"/>
    </row>
    <row r="247" hidden="1">
      <c r="A247" s="34"/>
    </row>
    <row r="248" hidden="1">
      <c r="A248" s="34"/>
    </row>
    <row r="249" hidden="1">
      <c r="A249" s="34"/>
    </row>
    <row r="250" hidden="1">
      <c r="A250" s="34"/>
    </row>
    <row r="251" hidden="1">
      <c r="A251" s="34"/>
    </row>
    <row r="252" hidden="1">
      <c r="A252" s="34"/>
    </row>
    <row r="253" hidden="1">
      <c r="A253" s="34"/>
    </row>
    <row r="254" hidden="1">
      <c r="A254" s="34"/>
    </row>
    <row r="255" hidden="1">
      <c r="A255" s="34"/>
    </row>
    <row r="256" hidden="1">
      <c r="A256" s="34"/>
    </row>
    <row r="257" hidden="1">
      <c r="A257" s="34"/>
    </row>
    <row r="258" hidden="1">
      <c r="A258" s="34"/>
    </row>
    <row r="259" hidden="1">
      <c r="A259" s="34"/>
    </row>
    <row r="260" hidden="1">
      <c r="A260" s="34"/>
    </row>
    <row r="261" hidden="1">
      <c r="A261" s="34"/>
    </row>
    <row r="262" hidden="1">
      <c r="A262" s="34"/>
    </row>
    <row r="263" hidden="1">
      <c r="A263" s="34"/>
    </row>
    <row r="264" hidden="1">
      <c r="A264" s="34"/>
    </row>
    <row r="265" hidden="1">
      <c r="A265" s="34"/>
    </row>
    <row r="266" hidden="1">
      <c r="A266" s="34"/>
    </row>
    <row r="267" hidden="1">
      <c r="A267" s="34"/>
    </row>
    <row r="268" hidden="1">
      <c r="A268" s="34"/>
    </row>
    <row r="269" hidden="1">
      <c r="A269" s="34"/>
    </row>
    <row r="270" hidden="1">
      <c r="A270" s="34"/>
    </row>
    <row r="271" hidden="1">
      <c r="A271" s="34"/>
    </row>
    <row r="272" hidden="1">
      <c r="A272" s="34"/>
    </row>
    <row r="273" hidden="1">
      <c r="A273" s="34"/>
    </row>
    <row r="274" hidden="1">
      <c r="A274" s="34"/>
    </row>
    <row r="275" hidden="1">
      <c r="A275" s="34"/>
    </row>
    <row r="276" hidden="1">
      <c r="A276" s="34"/>
    </row>
    <row r="277" hidden="1">
      <c r="A277" s="34"/>
    </row>
    <row r="278" hidden="1">
      <c r="A278" s="34"/>
    </row>
    <row r="279" hidden="1">
      <c r="A279" s="34"/>
    </row>
    <row r="280" hidden="1">
      <c r="A280" s="34"/>
    </row>
    <row r="281" hidden="1">
      <c r="A281" s="34"/>
    </row>
    <row r="282" hidden="1">
      <c r="A282" s="34"/>
    </row>
    <row r="283" hidden="1">
      <c r="A283" s="34"/>
    </row>
    <row r="284" hidden="1">
      <c r="A284" s="34"/>
    </row>
    <row r="285" hidden="1">
      <c r="A285" s="34"/>
    </row>
    <row r="286" hidden="1">
      <c r="A286" s="34"/>
    </row>
    <row r="287" hidden="1">
      <c r="A287" s="34"/>
    </row>
    <row r="288" hidden="1">
      <c r="A288" s="34"/>
    </row>
    <row r="289" hidden="1">
      <c r="A289" s="34"/>
    </row>
    <row r="290" hidden="1">
      <c r="A290" s="34"/>
    </row>
    <row r="291" hidden="1">
      <c r="A291" s="34"/>
    </row>
    <row r="292" hidden="1">
      <c r="A292" s="34"/>
    </row>
    <row r="293" hidden="1">
      <c r="A293" s="34"/>
    </row>
    <row r="294" hidden="1">
      <c r="A294" s="34"/>
    </row>
    <row r="295" hidden="1">
      <c r="A295" s="34"/>
    </row>
    <row r="296" hidden="1">
      <c r="A296" s="34"/>
    </row>
    <row r="297" hidden="1">
      <c r="A297" s="34"/>
    </row>
    <row r="298" hidden="1">
      <c r="A298" s="34"/>
    </row>
    <row r="299" hidden="1">
      <c r="A299" s="34"/>
    </row>
    <row r="300" hidden="1">
      <c r="A300" s="34"/>
    </row>
    <row r="301" hidden="1">
      <c r="A301" s="34"/>
    </row>
    <row r="302" hidden="1">
      <c r="A302" s="34"/>
    </row>
    <row r="303" hidden="1">
      <c r="A303" s="34"/>
    </row>
    <row r="304" hidden="1">
      <c r="A304" s="34"/>
    </row>
    <row r="305" hidden="1">
      <c r="A305" s="34"/>
    </row>
    <row r="306" hidden="1">
      <c r="A306" s="34"/>
    </row>
    <row r="307" hidden="1">
      <c r="A307" s="34"/>
    </row>
    <row r="308" hidden="1">
      <c r="A308" s="34"/>
    </row>
    <row r="309" hidden="1">
      <c r="A309" s="34"/>
    </row>
    <row r="310" hidden="1">
      <c r="A310" s="34"/>
    </row>
    <row r="311" hidden="1">
      <c r="A311" s="34"/>
    </row>
    <row r="312" hidden="1">
      <c r="A312" s="34"/>
    </row>
    <row r="313" hidden="1">
      <c r="A313" s="34"/>
    </row>
    <row r="314" hidden="1">
      <c r="A314" s="34"/>
    </row>
    <row r="315" hidden="1">
      <c r="A315" s="34"/>
    </row>
    <row r="316" hidden="1">
      <c r="A316" s="34"/>
    </row>
    <row r="317" hidden="1">
      <c r="A317" s="34"/>
    </row>
    <row r="318" hidden="1">
      <c r="A318" s="34"/>
    </row>
    <row r="319" hidden="1">
      <c r="A319" s="34"/>
    </row>
    <row r="320" hidden="1">
      <c r="A320" s="34"/>
    </row>
    <row r="321" hidden="1">
      <c r="A321" s="34"/>
    </row>
    <row r="322" hidden="1">
      <c r="A322" s="34"/>
    </row>
    <row r="323" hidden="1">
      <c r="A323" s="34"/>
    </row>
    <row r="324" hidden="1">
      <c r="A324" s="34"/>
    </row>
    <row r="325" hidden="1">
      <c r="A325" s="34"/>
    </row>
    <row r="326" hidden="1">
      <c r="A326" s="34"/>
    </row>
    <row r="327" hidden="1">
      <c r="A327" s="34"/>
    </row>
    <row r="328" hidden="1">
      <c r="A328" s="34"/>
    </row>
    <row r="329" hidden="1">
      <c r="A329" s="34"/>
    </row>
    <row r="330" hidden="1">
      <c r="A330" s="34"/>
    </row>
    <row r="331" hidden="1">
      <c r="A331" s="34"/>
    </row>
    <row r="332" hidden="1">
      <c r="A332" s="34"/>
    </row>
    <row r="333" hidden="1">
      <c r="A333" s="34"/>
    </row>
    <row r="334" hidden="1">
      <c r="A334" s="34"/>
    </row>
    <row r="335" hidden="1">
      <c r="A335" s="34"/>
    </row>
    <row r="336" hidden="1">
      <c r="A336" s="34"/>
    </row>
    <row r="337" hidden="1">
      <c r="A337" s="34"/>
    </row>
    <row r="338" hidden="1">
      <c r="A338" s="34"/>
    </row>
    <row r="339" hidden="1">
      <c r="A339" s="34"/>
    </row>
    <row r="340" hidden="1">
      <c r="A340" s="34"/>
    </row>
    <row r="341" hidden="1">
      <c r="A341" s="34"/>
    </row>
    <row r="342" hidden="1">
      <c r="A342" s="34"/>
    </row>
    <row r="343" hidden="1">
      <c r="A343" s="34"/>
    </row>
    <row r="344" hidden="1">
      <c r="A344" s="34"/>
    </row>
    <row r="345" hidden="1">
      <c r="A345" s="34"/>
    </row>
    <row r="346" hidden="1">
      <c r="A346" s="34"/>
    </row>
    <row r="347" hidden="1">
      <c r="A347" s="34"/>
    </row>
    <row r="348" hidden="1">
      <c r="A348" s="34"/>
    </row>
    <row r="349" hidden="1">
      <c r="A349" s="34"/>
    </row>
    <row r="350" hidden="1">
      <c r="A350" s="34"/>
    </row>
    <row r="351" hidden="1">
      <c r="A351" s="34"/>
    </row>
    <row r="352" hidden="1">
      <c r="A352" s="34"/>
    </row>
    <row r="353" hidden="1">
      <c r="A353" s="34"/>
    </row>
    <row r="354" hidden="1">
      <c r="A354" s="34"/>
    </row>
    <row r="355" hidden="1">
      <c r="A355" s="34"/>
    </row>
    <row r="356" hidden="1">
      <c r="A356" s="34"/>
    </row>
    <row r="357" hidden="1">
      <c r="A357" s="34"/>
    </row>
    <row r="358" hidden="1">
      <c r="A358" s="34"/>
    </row>
    <row r="359" hidden="1">
      <c r="A359" s="34"/>
    </row>
    <row r="360" hidden="1">
      <c r="A360" s="34"/>
    </row>
    <row r="361" hidden="1">
      <c r="A361" s="34"/>
    </row>
    <row r="362" hidden="1">
      <c r="A362" s="34"/>
    </row>
    <row r="363" hidden="1">
      <c r="A363" s="34"/>
    </row>
    <row r="364" hidden="1">
      <c r="A364" s="34"/>
    </row>
    <row r="365" hidden="1">
      <c r="A365" s="34"/>
    </row>
    <row r="366" hidden="1">
      <c r="A366" s="34"/>
    </row>
    <row r="367" hidden="1">
      <c r="A367" s="34"/>
    </row>
    <row r="368" hidden="1">
      <c r="A368" s="34"/>
    </row>
    <row r="369" hidden="1">
      <c r="A369" s="34"/>
    </row>
    <row r="370" hidden="1">
      <c r="A370" s="34"/>
    </row>
    <row r="371" hidden="1">
      <c r="A371" s="34"/>
    </row>
    <row r="372" hidden="1">
      <c r="A372" s="34"/>
    </row>
    <row r="373" hidden="1">
      <c r="A373" s="34"/>
    </row>
    <row r="374" hidden="1">
      <c r="A374" s="34"/>
    </row>
    <row r="375" hidden="1">
      <c r="A375" s="34"/>
    </row>
    <row r="376" hidden="1">
      <c r="A376" s="34"/>
    </row>
    <row r="377" hidden="1">
      <c r="A377" s="34"/>
    </row>
    <row r="378" hidden="1">
      <c r="A378" s="34"/>
    </row>
    <row r="379" hidden="1">
      <c r="A379" s="34"/>
    </row>
    <row r="380" hidden="1">
      <c r="A380" s="34"/>
    </row>
    <row r="381" hidden="1">
      <c r="A381" s="34"/>
    </row>
    <row r="382" hidden="1">
      <c r="A382" s="34"/>
    </row>
    <row r="383" hidden="1">
      <c r="A383" s="34"/>
    </row>
    <row r="384" hidden="1">
      <c r="A384" s="34"/>
    </row>
    <row r="385" hidden="1">
      <c r="A385" s="34"/>
    </row>
    <row r="386" hidden="1">
      <c r="A386" s="34"/>
    </row>
    <row r="387" hidden="1">
      <c r="A387" s="34"/>
    </row>
    <row r="388" hidden="1">
      <c r="A388" s="34"/>
    </row>
    <row r="389" hidden="1">
      <c r="A389" s="34"/>
    </row>
    <row r="390" hidden="1">
      <c r="A390" s="34"/>
    </row>
    <row r="391" hidden="1">
      <c r="A391" s="34"/>
    </row>
    <row r="392" hidden="1">
      <c r="A392" s="34"/>
    </row>
    <row r="393" hidden="1">
      <c r="A393" s="34"/>
    </row>
    <row r="394" hidden="1">
      <c r="A394" s="34"/>
    </row>
    <row r="395" hidden="1">
      <c r="A395" s="34"/>
    </row>
    <row r="396" hidden="1">
      <c r="A396" s="34"/>
    </row>
    <row r="397" hidden="1">
      <c r="A397" s="34"/>
    </row>
    <row r="398" hidden="1">
      <c r="A398" s="34"/>
    </row>
    <row r="399" hidden="1">
      <c r="A399" s="34"/>
    </row>
    <row r="400" hidden="1">
      <c r="A400" s="34"/>
    </row>
    <row r="401" hidden="1">
      <c r="A401" s="34"/>
    </row>
    <row r="402" hidden="1">
      <c r="A402" s="34"/>
    </row>
    <row r="403" hidden="1">
      <c r="A403" s="34"/>
    </row>
    <row r="404" hidden="1">
      <c r="A404" s="34"/>
    </row>
    <row r="405" hidden="1">
      <c r="A405" s="34"/>
    </row>
    <row r="406" hidden="1">
      <c r="A406" s="34"/>
    </row>
    <row r="407" hidden="1">
      <c r="A407" s="34"/>
    </row>
    <row r="408" hidden="1">
      <c r="A408" s="34"/>
    </row>
    <row r="409" hidden="1">
      <c r="A409" s="34"/>
    </row>
    <row r="410" hidden="1">
      <c r="A410" s="34"/>
    </row>
    <row r="411" hidden="1">
      <c r="A411" s="34"/>
    </row>
    <row r="412" hidden="1">
      <c r="A412" s="34"/>
    </row>
    <row r="413" hidden="1">
      <c r="A413" s="34"/>
    </row>
    <row r="414" hidden="1">
      <c r="A414" s="34"/>
    </row>
    <row r="415" hidden="1">
      <c r="A415" s="34"/>
    </row>
    <row r="416" hidden="1">
      <c r="A416" s="34"/>
    </row>
    <row r="417" hidden="1">
      <c r="A417" s="34"/>
    </row>
    <row r="418" hidden="1">
      <c r="A418" s="34"/>
    </row>
    <row r="419" hidden="1">
      <c r="A419" s="34"/>
    </row>
    <row r="420" hidden="1">
      <c r="A420" s="34"/>
    </row>
    <row r="421" hidden="1">
      <c r="A421" s="34"/>
    </row>
    <row r="422" hidden="1">
      <c r="A422" s="34"/>
    </row>
    <row r="423" hidden="1">
      <c r="A423" s="34"/>
    </row>
    <row r="424" hidden="1">
      <c r="A424" s="34"/>
    </row>
    <row r="425" hidden="1">
      <c r="A425" s="34"/>
    </row>
    <row r="426" hidden="1">
      <c r="A426" s="34"/>
    </row>
    <row r="427" hidden="1">
      <c r="A427" s="34"/>
    </row>
    <row r="428" hidden="1">
      <c r="A428" s="34"/>
    </row>
    <row r="429" hidden="1">
      <c r="A429" s="34"/>
    </row>
    <row r="430" hidden="1">
      <c r="A430" s="34"/>
    </row>
    <row r="431" hidden="1">
      <c r="A431" s="34"/>
    </row>
    <row r="432" hidden="1">
      <c r="A432" s="34"/>
    </row>
    <row r="433" hidden="1">
      <c r="A433" s="34"/>
    </row>
    <row r="434" hidden="1">
      <c r="A434" s="34"/>
    </row>
    <row r="435" hidden="1">
      <c r="A435" s="34"/>
    </row>
    <row r="436" hidden="1">
      <c r="A436" s="34"/>
    </row>
    <row r="437" hidden="1">
      <c r="A437" s="34"/>
    </row>
    <row r="438" hidden="1">
      <c r="A438" s="34"/>
    </row>
    <row r="439" hidden="1">
      <c r="A439" s="34"/>
    </row>
    <row r="440" hidden="1">
      <c r="A440" s="34"/>
    </row>
    <row r="441" hidden="1">
      <c r="A441" s="34"/>
    </row>
    <row r="442" hidden="1">
      <c r="A442" s="34"/>
    </row>
    <row r="443" hidden="1">
      <c r="A443" s="34"/>
    </row>
    <row r="444" hidden="1">
      <c r="A444" s="34"/>
    </row>
    <row r="445" hidden="1">
      <c r="A445" s="34"/>
    </row>
    <row r="446" hidden="1">
      <c r="A446" s="34"/>
    </row>
    <row r="447" hidden="1">
      <c r="A447" s="34"/>
    </row>
    <row r="448" hidden="1">
      <c r="A448" s="34"/>
    </row>
    <row r="449" hidden="1">
      <c r="A449" s="34"/>
    </row>
    <row r="450" hidden="1">
      <c r="A450" s="34"/>
    </row>
    <row r="451" hidden="1">
      <c r="A451" s="34"/>
    </row>
    <row r="452" hidden="1">
      <c r="A452" s="34"/>
    </row>
    <row r="453" hidden="1">
      <c r="A453" s="34"/>
    </row>
    <row r="454" hidden="1">
      <c r="A454" s="34"/>
    </row>
    <row r="455" hidden="1">
      <c r="A455" s="34"/>
    </row>
    <row r="456" hidden="1">
      <c r="A456" s="34"/>
    </row>
    <row r="457" hidden="1">
      <c r="A457" s="34"/>
    </row>
    <row r="458" hidden="1">
      <c r="A458" s="34"/>
    </row>
    <row r="459" hidden="1">
      <c r="A459" s="34"/>
    </row>
    <row r="460" hidden="1">
      <c r="A460" s="34"/>
    </row>
    <row r="461" hidden="1">
      <c r="A461" s="34"/>
    </row>
    <row r="462" hidden="1">
      <c r="A462" s="34"/>
    </row>
    <row r="463" hidden="1">
      <c r="A463" s="34"/>
    </row>
    <row r="464" hidden="1">
      <c r="A464" s="34"/>
    </row>
    <row r="465" hidden="1">
      <c r="A465" s="34"/>
    </row>
    <row r="466" hidden="1">
      <c r="A466" s="34"/>
    </row>
    <row r="467" hidden="1">
      <c r="A467" s="34"/>
    </row>
    <row r="468" hidden="1">
      <c r="A468" s="34"/>
    </row>
    <row r="469" hidden="1">
      <c r="A469" s="34"/>
    </row>
    <row r="470" hidden="1">
      <c r="A470" s="34"/>
    </row>
    <row r="471" hidden="1">
      <c r="A471" s="34"/>
    </row>
    <row r="472" hidden="1">
      <c r="A472" s="34"/>
    </row>
    <row r="473" hidden="1">
      <c r="A473" s="34"/>
    </row>
    <row r="474" hidden="1">
      <c r="A474" s="34"/>
    </row>
    <row r="475" hidden="1">
      <c r="A475" s="34"/>
    </row>
    <row r="476" hidden="1">
      <c r="A476" s="34"/>
    </row>
    <row r="477" hidden="1">
      <c r="A477" s="34"/>
    </row>
    <row r="478" hidden="1">
      <c r="A478" s="34"/>
    </row>
    <row r="479" hidden="1">
      <c r="A479" s="34"/>
    </row>
    <row r="480" hidden="1">
      <c r="A480" s="34"/>
    </row>
    <row r="481" hidden="1">
      <c r="A481" s="34"/>
    </row>
    <row r="482" hidden="1">
      <c r="A482" s="34"/>
    </row>
    <row r="483" hidden="1">
      <c r="A483" s="34"/>
    </row>
    <row r="484" hidden="1">
      <c r="A484" s="34"/>
    </row>
    <row r="485" hidden="1">
      <c r="A485" s="34"/>
    </row>
    <row r="486" hidden="1">
      <c r="A486" s="34"/>
    </row>
    <row r="487" hidden="1">
      <c r="A487" s="34"/>
    </row>
    <row r="488" hidden="1">
      <c r="A488" s="34"/>
    </row>
    <row r="489" hidden="1">
      <c r="A489" s="34"/>
    </row>
    <row r="490" hidden="1">
      <c r="A490" s="34"/>
    </row>
    <row r="491" hidden="1">
      <c r="A491" s="34"/>
    </row>
    <row r="492" hidden="1">
      <c r="A492" s="34"/>
    </row>
    <row r="493" hidden="1">
      <c r="A493" s="34"/>
    </row>
    <row r="494" hidden="1">
      <c r="A494" s="34"/>
    </row>
    <row r="495" hidden="1">
      <c r="A495" s="34"/>
    </row>
    <row r="496" hidden="1">
      <c r="A496" s="34"/>
    </row>
    <row r="497" hidden="1">
      <c r="A497" s="34"/>
    </row>
    <row r="498" hidden="1">
      <c r="A498" s="34"/>
    </row>
    <row r="499" hidden="1">
      <c r="A499" s="34"/>
    </row>
    <row r="500" hidden="1">
      <c r="A500" s="34"/>
    </row>
    <row r="501" hidden="1">
      <c r="A501" s="34"/>
    </row>
    <row r="502" hidden="1">
      <c r="A502" s="34"/>
    </row>
    <row r="503" hidden="1">
      <c r="A503" s="34"/>
    </row>
    <row r="504" hidden="1">
      <c r="A504" s="34"/>
    </row>
    <row r="505" hidden="1">
      <c r="A505" s="34"/>
    </row>
    <row r="506" hidden="1">
      <c r="A506" s="34"/>
    </row>
    <row r="507" hidden="1">
      <c r="A507" s="34"/>
    </row>
    <row r="508" hidden="1">
      <c r="A508" s="34"/>
    </row>
    <row r="509" hidden="1">
      <c r="A509" s="34"/>
    </row>
    <row r="510" hidden="1">
      <c r="A510" s="34"/>
    </row>
    <row r="511" hidden="1">
      <c r="A511" s="34"/>
    </row>
    <row r="512" hidden="1">
      <c r="A512" s="34"/>
    </row>
    <row r="513" hidden="1">
      <c r="A513" s="34"/>
    </row>
    <row r="514" hidden="1">
      <c r="A514" s="34"/>
    </row>
    <row r="515" hidden="1">
      <c r="A515" s="34"/>
    </row>
    <row r="516" hidden="1">
      <c r="A516" s="34"/>
    </row>
    <row r="517" hidden="1">
      <c r="A517" s="34"/>
    </row>
    <row r="518" hidden="1">
      <c r="A518" s="34"/>
    </row>
    <row r="519" hidden="1">
      <c r="A519" s="34"/>
    </row>
    <row r="520" hidden="1">
      <c r="A520" s="34"/>
    </row>
    <row r="521" hidden="1">
      <c r="A521" s="34"/>
    </row>
    <row r="522" hidden="1">
      <c r="A522" s="34"/>
    </row>
    <row r="523" hidden="1">
      <c r="A523" s="34"/>
    </row>
    <row r="524" hidden="1">
      <c r="A524" s="34"/>
    </row>
    <row r="525" hidden="1">
      <c r="A525" s="34"/>
    </row>
    <row r="526" hidden="1">
      <c r="A526" s="34"/>
    </row>
    <row r="527" hidden="1">
      <c r="A527" s="34"/>
    </row>
    <row r="528" hidden="1">
      <c r="A528" s="34"/>
    </row>
    <row r="529" hidden="1">
      <c r="A529" s="34"/>
    </row>
    <row r="530" hidden="1">
      <c r="A530" s="34"/>
    </row>
    <row r="531" hidden="1">
      <c r="A531" s="34"/>
    </row>
    <row r="532" hidden="1">
      <c r="A532" s="34"/>
    </row>
    <row r="533" hidden="1">
      <c r="A533" s="34"/>
    </row>
    <row r="534" hidden="1">
      <c r="A534" s="34"/>
    </row>
    <row r="535" hidden="1">
      <c r="A535" s="34"/>
    </row>
    <row r="536" hidden="1">
      <c r="A536" s="34"/>
    </row>
    <row r="537" hidden="1">
      <c r="A537" s="34"/>
    </row>
    <row r="538" hidden="1">
      <c r="A538" s="34"/>
    </row>
    <row r="539" hidden="1">
      <c r="A539" s="34"/>
    </row>
    <row r="540" hidden="1">
      <c r="A540" s="34"/>
    </row>
    <row r="541" hidden="1">
      <c r="A541" s="34"/>
    </row>
    <row r="542" hidden="1">
      <c r="A542" s="34"/>
    </row>
    <row r="543" hidden="1">
      <c r="A543" s="34"/>
    </row>
    <row r="544" hidden="1">
      <c r="A544" s="34"/>
    </row>
    <row r="545" hidden="1">
      <c r="A545" s="34"/>
    </row>
    <row r="546" hidden="1">
      <c r="A546" s="34"/>
    </row>
    <row r="547" hidden="1">
      <c r="A547" s="34"/>
    </row>
    <row r="548" hidden="1">
      <c r="A548" s="34"/>
    </row>
    <row r="549" hidden="1">
      <c r="A549" s="34"/>
    </row>
    <row r="550" hidden="1">
      <c r="A550" s="34"/>
    </row>
    <row r="551" hidden="1">
      <c r="A551" s="34"/>
    </row>
    <row r="552" hidden="1">
      <c r="A552" s="34"/>
    </row>
    <row r="553" hidden="1">
      <c r="A553" s="34"/>
    </row>
    <row r="554" hidden="1">
      <c r="A554" s="34"/>
    </row>
    <row r="555" hidden="1">
      <c r="A555" s="34"/>
    </row>
    <row r="556" hidden="1">
      <c r="A556" s="34"/>
    </row>
    <row r="557" hidden="1">
      <c r="A557" s="34"/>
    </row>
    <row r="558" hidden="1">
      <c r="A558" s="34"/>
    </row>
    <row r="559" hidden="1">
      <c r="A559" s="34"/>
    </row>
    <row r="560" hidden="1">
      <c r="A560" s="34"/>
    </row>
    <row r="561" hidden="1">
      <c r="A561" s="34"/>
    </row>
    <row r="562" hidden="1">
      <c r="A562" s="34"/>
    </row>
    <row r="563" hidden="1">
      <c r="A563" s="34"/>
    </row>
    <row r="564" hidden="1">
      <c r="A564" s="34"/>
    </row>
    <row r="565" hidden="1">
      <c r="A565" s="34"/>
    </row>
    <row r="566" hidden="1">
      <c r="A566" s="34"/>
    </row>
    <row r="567" hidden="1">
      <c r="A567" s="34"/>
    </row>
    <row r="568" hidden="1">
      <c r="A568" s="34"/>
    </row>
    <row r="569" hidden="1">
      <c r="A569" s="34"/>
    </row>
    <row r="570" hidden="1">
      <c r="A570" s="34"/>
    </row>
    <row r="571" hidden="1">
      <c r="A571" s="34"/>
    </row>
    <row r="572" hidden="1">
      <c r="A572" s="34"/>
    </row>
    <row r="573" hidden="1">
      <c r="A573" s="34"/>
    </row>
    <row r="574" hidden="1">
      <c r="A574" s="34"/>
    </row>
    <row r="575" hidden="1">
      <c r="A575" s="34"/>
    </row>
    <row r="576" hidden="1">
      <c r="A576" s="34"/>
    </row>
    <row r="577" hidden="1">
      <c r="A577" s="34"/>
    </row>
    <row r="578" hidden="1">
      <c r="A578" s="34"/>
    </row>
    <row r="579" hidden="1">
      <c r="A579" s="34"/>
    </row>
    <row r="580" hidden="1">
      <c r="A580" s="34"/>
    </row>
    <row r="581" hidden="1">
      <c r="A581" s="34"/>
    </row>
    <row r="582" hidden="1">
      <c r="A582" s="34"/>
    </row>
    <row r="583" hidden="1">
      <c r="A583" s="34"/>
    </row>
    <row r="584" hidden="1">
      <c r="A584" s="34"/>
    </row>
    <row r="585" hidden="1">
      <c r="A585" s="34"/>
    </row>
    <row r="586" hidden="1">
      <c r="A586" s="34"/>
    </row>
    <row r="587" hidden="1">
      <c r="A587" s="34"/>
    </row>
    <row r="588" hidden="1">
      <c r="A588" s="34"/>
    </row>
    <row r="589" hidden="1">
      <c r="A589" s="34"/>
    </row>
    <row r="590" hidden="1">
      <c r="A590" s="34"/>
    </row>
    <row r="591" hidden="1">
      <c r="A591" s="34"/>
    </row>
    <row r="592" hidden="1">
      <c r="A592" s="34"/>
    </row>
    <row r="593" hidden="1">
      <c r="A593" s="34"/>
    </row>
    <row r="594" hidden="1">
      <c r="A594" s="34"/>
    </row>
    <row r="595" hidden="1">
      <c r="A595" s="34"/>
    </row>
    <row r="596" hidden="1">
      <c r="A596" s="34"/>
    </row>
    <row r="597" hidden="1">
      <c r="A597" s="34"/>
    </row>
    <row r="598" hidden="1">
      <c r="A598" s="34"/>
    </row>
    <row r="599" hidden="1">
      <c r="A599" s="34"/>
    </row>
    <row r="600" hidden="1">
      <c r="A600" s="34"/>
    </row>
    <row r="601" hidden="1">
      <c r="A601" s="34"/>
    </row>
    <row r="602" hidden="1">
      <c r="A602" s="34"/>
    </row>
    <row r="603" hidden="1">
      <c r="A603" s="34"/>
    </row>
    <row r="604" hidden="1">
      <c r="A604" s="34"/>
    </row>
    <row r="605" hidden="1">
      <c r="A605" s="34"/>
    </row>
    <row r="606" hidden="1">
      <c r="A606" s="34"/>
    </row>
    <row r="607" hidden="1">
      <c r="A607" s="34"/>
    </row>
    <row r="608" hidden="1">
      <c r="A608" s="34"/>
    </row>
    <row r="609" hidden="1">
      <c r="A609" s="34"/>
    </row>
    <row r="610" hidden="1">
      <c r="A610" s="34"/>
    </row>
    <row r="611" hidden="1">
      <c r="A611" s="34"/>
    </row>
    <row r="612" hidden="1">
      <c r="A612" s="34"/>
    </row>
    <row r="613" hidden="1">
      <c r="A613" s="34"/>
    </row>
    <row r="614" hidden="1">
      <c r="A614" s="34"/>
    </row>
    <row r="615" hidden="1">
      <c r="A615" s="34"/>
    </row>
    <row r="616" hidden="1">
      <c r="A616" s="34"/>
    </row>
    <row r="617" hidden="1">
      <c r="A617" s="34"/>
    </row>
    <row r="618" hidden="1">
      <c r="A618" s="34"/>
    </row>
    <row r="619" hidden="1">
      <c r="A619" s="34"/>
    </row>
    <row r="620" hidden="1">
      <c r="A620" s="34"/>
    </row>
    <row r="621" hidden="1">
      <c r="A621" s="34"/>
    </row>
    <row r="622" hidden="1">
      <c r="A622" s="34"/>
    </row>
    <row r="623" hidden="1">
      <c r="A623" s="34"/>
    </row>
    <row r="624" hidden="1">
      <c r="A624" s="34"/>
    </row>
    <row r="625" hidden="1">
      <c r="A625" s="34"/>
    </row>
    <row r="626" hidden="1">
      <c r="A626" s="34"/>
    </row>
    <row r="627" hidden="1">
      <c r="A627" s="34"/>
    </row>
    <row r="628" hidden="1">
      <c r="A628" s="34"/>
    </row>
    <row r="629" hidden="1">
      <c r="A629" s="34"/>
    </row>
    <row r="630" hidden="1">
      <c r="A630" s="34"/>
    </row>
    <row r="631" hidden="1">
      <c r="A631" s="34"/>
    </row>
    <row r="632" hidden="1">
      <c r="A632" s="34"/>
    </row>
    <row r="633" hidden="1">
      <c r="A633" s="34"/>
    </row>
    <row r="634" hidden="1">
      <c r="A634" s="34"/>
    </row>
    <row r="635" hidden="1">
      <c r="A635" s="34"/>
    </row>
    <row r="636" hidden="1">
      <c r="A636" s="34"/>
    </row>
    <row r="637" hidden="1">
      <c r="A637" s="34"/>
    </row>
    <row r="638" hidden="1">
      <c r="A638" s="34"/>
    </row>
    <row r="639" hidden="1">
      <c r="A639" s="34"/>
    </row>
    <row r="640" hidden="1">
      <c r="A640" s="34"/>
    </row>
    <row r="641" hidden="1">
      <c r="A641" s="34"/>
    </row>
    <row r="642" hidden="1">
      <c r="A642" s="34"/>
    </row>
    <row r="643" hidden="1">
      <c r="A643" s="34"/>
    </row>
    <row r="644" hidden="1">
      <c r="A644" s="34"/>
    </row>
    <row r="645" hidden="1">
      <c r="A645" s="34"/>
    </row>
    <row r="646" hidden="1">
      <c r="A646" s="34"/>
    </row>
    <row r="647" hidden="1">
      <c r="A647" s="34"/>
    </row>
    <row r="648" hidden="1">
      <c r="A648" s="34"/>
    </row>
    <row r="649" hidden="1">
      <c r="A649" s="34"/>
    </row>
    <row r="650" hidden="1">
      <c r="A650" s="34"/>
    </row>
    <row r="651" hidden="1">
      <c r="A651" s="34"/>
    </row>
    <row r="652" hidden="1">
      <c r="A652" s="34"/>
    </row>
    <row r="653" hidden="1">
      <c r="A653" s="34"/>
    </row>
    <row r="654" hidden="1">
      <c r="A654" s="34"/>
    </row>
    <row r="655" hidden="1">
      <c r="A655" s="34"/>
    </row>
    <row r="656" hidden="1">
      <c r="A656" s="34"/>
    </row>
    <row r="657" hidden="1">
      <c r="A657" s="34"/>
    </row>
    <row r="658" hidden="1">
      <c r="A658" s="34"/>
    </row>
    <row r="659" hidden="1">
      <c r="A659" s="34"/>
    </row>
    <row r="660" hidden="1">
      <c r="A660" s="34"/>
    </row>
    <row r="661" hidden="1">
      <c r="A661" s="34"/>
    </row>
    <row r="662" hidden="1">
      <c r="A662" s="34"/>
    </row>
    <row r="663" hidden="1">
      <c r="A663" s="34"/>
    </row>
    <row r="664" hidden="1">
      <c r="A664" s="34"/>
    </row>
    <row r="665" hidden="1">
      <c r="A665" s="34"/>
    </row>
    <row r="666" hidden="1">
      <c r="A666" s="34"/>
    </row>
    <row r="667" hidden="1">
      <c r="A667" s="34"/>
    </row>
    <row r="668" hidden="1">
      <c r="A668" s="34"/>
    </row>
    <row r="669" hidden="1">
      <c r="A669" s="34"/>
    </row>
    <row r="670" hidden="1">
      <c r="A670" s="34"/>
    </row>
    <row r="671" hidden="1">
      <c r="A671" s="34"/>
    </row>
    <row r="672" hidden="1">
      <c r="A672" s="34"/>
    </row>
    <row r="673" hidden="1">
      <c r="A673" s="34"/>
    </row>
    <row r="674" hidden="1">
      <c r="A674" s="34"/>
    </row>
    <row r="675" hidden="1">
      <c r="A675" s="34"/>
    </row>
    <row r="676" hidden="1">
      <c r="A676" s="34"/>
    </row>
    <row r="677" hidden="1">
      <c r="A677" s="34"/>
    </row>
    <row r="678" hidden="1">
      <c r="A678" s="34"/>
    </row>
    <row r="679" hidden="1">
      <c r="A679" s="34"/>
    </row>
    <row r="680" hidden="1">
      <c r="A680" s="34"/>
    </row>
    <row r="681" hidden="1">
      <c r="A681" s="34"/>
    </row>
    <row r="682" hidden="1">
      <c r="A682" s="34"/>
    </row>
    <row r="683" hidden="1">
      <c r="A683" s="34"/>
    </row>
    <row r="684" hidden="1">
      <c r="A684" s="34"/>
    </row>
    <row r="685" hidden="1">
      <c r="A685" s="34"/>
    </row>
    <row r="686" hidden="1">
      <c r="A686" s="34"/>
    </row>
    <row r="687" hidden="1">
      <c r="A687" s="34"/>
    </row>
    <row r="688" hidden="1">
      <c r="A688" s="34"/>
    </row>
    <row r="689" hidden="1">
      <c r="A689" s="34"/>
    </row>
    <row r="690" hidden="1">
      <c r="A690" s="34"/>
    </row>
    <row r="691" hidden="1">
      <c r="A691" s="34"/>
    </row>
    <row r="692" hidden="1">
      <c r="A692" s="34"/>
    </row>
    <row r="693" hidden="1">
      <c r="A693" s="34"/>
    </row>
    <row r="694" hidden="1">
      <c r="A694" s="34"/>
    </row>
    <row r="695" hidden="1">
      <c r="A695" s="34"/>
    </row>
    <row r="696" hidden="1">
      <c r="A696" s="34"/>
    </row>
    <row r="697" hidden="1">
      <c r="A697" s="34"/>
    </row>
    <row r="698" hidden="1">
      <c r="A698" s="34"/>
    </row>
    <row r="699" hidden="1">
      <c r="A699" s="34"/>
    </row>
    <row r="700" hidden="1">
      <c r="A700" s="34"/>
    </row>
    <row r="701" hidden="1">
      <c r="A701" s="34"/>
    </row>
    <row r="702" hidden="1">
      <c r="A702" s="34"/>
    </row>
    <row r="703" hidden="1">
      <c r="A703" s="34"/>
    </row>
    <row r="704" hidden="1">
      <c r="A704" s="34"/>
    </row>
    <row r="705" hidden="1">
      <c r="A705" s="34"/>
    </row>
    <row r="706" hidden="1">
      <c r="A706" s="34"/>
    </row>
    <row r="707" hidden="1">
      <c r="A707" s="34"/>
    </row>
    <row r="708" hidden="1">
      <c r="A708" s="34"/>
    </row>
    <row r="709" hidden="1">
      <c r="A709" s="34"/>
    </row>
    <row r="710" hidden="1">
      <c r="A710" s="34"/>
    </row>
    <row r="711" hidden="1">
      <c r="A711" s="34"/>
    </row>
    <row r="712" hidden="1">
      <c r="A712" s="34"/>
    </row>
    <row r="713" hidden="1">
      <c r="A713" s="34"/>
    </row>
    <row r="714" hidden="1">
      <c r="A714" s="34"/>
    </row>
    <row r="715" hidden="1">
      <c r="A715" s="34"/>
    </row>
    <row r="716" hidden="1">
      <c r="A716" s="34"/>
    </row>
    <row r="717" hidden="1">
      <c r="A717" s="34"/>
    </row>
    <row r="718" hidden="1">
      <c r="A718" s="34"/>
    </row>
    <row r="719" hidden="1">
      <c r="A719" s="34"/>
    </row>
    <row r="720" hidden="1">
      <c r="A720" s="34"/>
    </row>
    <row r="721" hidden="1">
      <c r="A721" s="34"/>
    </row>
    <row r="722" hidden="1">
      <c r="A722" s="34"/>
    </row>
    <row r="723" hidden="1">
      <c r="A723" s="34"/>
    </row>
    <row r="724" hidden="1">
      <c r="A724" s="34"/>
    </row>
    <row r="725" hidden="1">
      <c r="A725" s="34"/>
    </row>
    <row r="726" hidden="1">
      <c r="A726" s="34"/>
    </row>
    <row r="727" hidden="1">
      <c r="A727" s="34"/>
    </row>
    <row r="728" hidden="1">
      <c r="A728" s="34"/>
    </row>
    <row r="729" hidden="1">
      <c r="A729" s="34"/>
    </row>
    <row r="730" hidden="1">
      <c r="A730" s="34"/>
    </row>
    <row r="731" hidden="1">
      <c r="A731" s="34"/>
    </row>
    <row r="732" hidden="1">
      <c r="A732" s="34"/>
    </row>
    <row r="733" hidden="1">
      <c r="A733" s="34"/>
    </row>
    <row r="734" hidden="1">
      <c r="A734" s="34"/>
    </row>
    <row r="735" hidden="1">
      <c r="A735" s="34"/>
    </row>
    <row r="736" hidden="1">
      <c r="A736" s="34"/>
    </row>
    <row r="737" hidden="1">
      <c r="A737" s="34"/>
    </row>
    <row r="738" hidden="1">
      <c r="A738" s="34"/>
    </row>
    <row r="739" hidden="1">
      <c r="A739" s="34"/>
    </row>
    <row r="740" hidden="1">
      <c r="A740" s="34"/>
    </row>
    <row r="741" hidden="1">
      <c r="A741" s="34"/>
    </row>
    <row r="742" hidden="1">
      <c r="A742" s="34"/>
    </row>
    <row r="743" hidden="1">
      <c r="A743" s="34"/>
    </row>
    <row r="744" hidden="1">
      <c r="A744" s="34"/>
    </row>
    <row r="745" hidden="1">
      <c r="A745" s="34"/>
    </row>
    <row r="746" hidden="1">
      <c r="A746" s="34"/>
    </row>
    <row r="747" hidden="1">
      <c r="A747" s="34"/>
    </row>
    <row r="748" hidden="1">
      <c r="A748" s="34"/>
    </row>
    <row r="749" hidden="1">
      <c r="A749" s="34"/>
    </row>
    <row r="750" hidden="1">
      <c r="A750" s="34"/>
    </row>
    <row r="751" hidden="1">
      <c r="A751" s="34"/>
    </row>
    <row r="752" hidden="1">
      <c r="A752" s="34"/>
    </row>
    <row r="753" hidden="1">
      <c r="A753" s="34"/>
    </row>
    <row r="754" hidden="1">
      <c r="A754" s="34"/>
    </row>
    <row r="755" hidden="1">
      <c r="A755" s="34"/>
    </row>
    <row r="756" hidden="1">
      <c r="A756" s="34"/>
    </row>
    <row r="757" hidden="1">
      <c r="A757" s="34"/>
    </row>
    <row r="758" hidden="1">
      <c r="A758" s="34"/>
    </row>
    <row r="759" hidden="1">
      <c r="A759" s="34"/>
    </row>
    <row r="760" hidden="1">
      <c r="A760" s="34"/>
    </row>
    <row r="761" hidden="1">
      <c r="A761" s="34"/>
    </row>
    <row r="762" hidden="1">
      <c r="A762" s="34"/>
    </row>
    <row r="763" hidden="1">
      <c r="A763" s="34"/>
    </row>
    <row r="764" hidden="1">
      <c r="A764" s="34"/>
    </row>
    <row r="765" hidden="1">
      <c r="A765" s="34"/>
    </row>
    <row r="766" hidden="1">
      <c r="A766" s="34"/>
    </row>
    <row r="767" hidden="1">
      <c r="A767" s="34"/>
    </row>
    <row r="768" hidden="1">
      <c r="A768" s="34"/>
    </row>
    <row r="769" hidden="1">
      <c r="A769" s="34"/>
    </row>
    <row r="770" hidden="1">
      <c r="A770" s="34"/>
    </row>
    <row r="771" hidden="1">
      <c r="A771" s="34"/>
    </row>
    <row r="772" hidden="1">
      <c r="A772" s="34"/>
    </row>
    <row r="773" hidden="1">
      <c r="A773" s="34"/>
    </row>
    <row r="774" hidden="1">
      <c r="A774" s="34"/>
    </row>
    <row r="775" hidden="1">
      <c r="A775" s="34"/>
    </row>
    <row r="776" hidden="1">
      <c r="A776" s="34"/>
    </row>
    <row r="777" hidden="1">
      <c r="A777" s="34"/>
    </row>
    <row r="778" hidden="1">
      <c r="A778" s="34"/>
    </row>
    <row r="779" hidden="1">
      <c r="A779" s="34"/>
    </row>
    <row r="780" hidden="1">
      <c r="A780" s="34"/>
    </row>
    <row r="781" hidden="1">
      <c r="A781" s="34"/>
    </row>
    <row r="782" hidden="1">
      <c r="A782" s="34"/>
    </row>
    <row r="783" hidden="1">
      <c r="A783" s="34"/>
    </row>
    <row r="784" hidden="1">
      <c r="A784" s="34"/>
    </row>
    <row r="785" hidden="1">
      <c r="A785" s="34"/>
    </row>
    <row r="786" hidden="1">
      <c r="A786" s="34"/>
    </row>
    <row r="787" hidden="1">
      <c r="A787" s="34"/>
    </row>
    <row r="788" hidden="1">
      <c r="A788" s="34"/>
    </row>
    <row r="789" hidden="1">
      <c r="A789" s="34"/>
    </row>
    <row r="790" hidden="1">
      <c r="A790" s="34"/>
    </row>
    <row r="791" hidden="1">
      <c r="A791" s="34"/>
    </row>
    <row r="792" hidden="1">
      <c r="A792" s="34"/>
    </row>
    <row r="793" hidden="1">
      <c r="A793" s="34"/>
    </row>
    <row r="794" hidden="1">
      <c r="A794" s="34"/>
    </row>
    <row r="795" hidden="1">
      <c r="A795" s="34"/>
    </row>
    <row r="796" hidden="1">
      <c r="A796" s="34"/>
    </row>
    <row r="797" hidden="1">
      <c r="A797" s="34"/>
    </row>
    <row r="798" hidden="1">
      <c r="A798" s="34"/>
    </row>
    <row r="799" hidden="1">
      <c r="A799" s="34"/>
    </row>
    <row r="800" hidden="1">
      <c r="A800" s="34"/>
    </row>
    <row r="801" hidden="1">
      <c r="A801" s="34"/>
    </row>
    <row r="802" hidden="1">
      <c r="A802" s="34"/>
    </row>
    <row r="803" hidden="1">
      <c r="A803" s="34"/>
    </row>
    <row r="804" hidden="1">
      <c r="A804" s="34"/>
    </row>
    <row r="805" hidden="1">
      <c r="A805" s="34"/>
    </row>
    <row r="806" hidden="1">
      <c r="A806" s="34"/>
    </row>
    <row r="807" hidden="1">
      <c r="A807" s="34"/>
    </row>
    <row r="808" hidden="1">
      <c r="A808" s="34"/>
    </row>
    <row r="809" hidden="1">
      <c r="A809" s="34"/>
    </row>
    <row r="810" hidden="1">
      <c r="A810" s="34"/>
    </row>
    <row r="811" hidden="1">
      <c r="A811" s="34"/>
    </row>
    <row r="812" hidden="1">
      <c r="A812" s="34"/>
    </row>
    <row r="813" hidden="1">
      <c r="A813" s="34"/>
    </row>
    <row r="814" hidden="1">
      <c r="A814" s="34"/>
    </row>
    <row r="815" hidden="1">
      <c r="A815" s="34"/>
    </row>
    <row r="816" hidden="1">
      <c r="A816" s="34"/>
    </row>
    <row r="817" hidden="1">
      <c r="A817" s="34"/>
    </row>
    <row r="818" hidden="1">
      <c r="A818" s="34"/>
    </row>
    <row r="819" hidden="1">
      <c r="A819" s="34"/>
    </row>
    <row r="820" hidden="1">
      <c r="A820" s="34"/>
    </row>
    <row r="821" hidden="1">
      <c r="A821" s="34"/>
    </row>
    <row r="822" hidden="1">
      <c r="A822" s="34"/>
    </row>
    <row r="823" hidden="1">
      <c r="A823" s="34"/>
    </row>
    <row r="824" hidden="1">
      <c r="A824" s="34"/>
    </row>
    <row r="825" hidden="1">
      <c r="A825" s="34"/>
    </row>
    <row r="826" hidden="1">
      <c r="A826" s="34"/>
    </row>
    <row r="827" hidden="1">
      <c r="A827" s="34"/>
    </row>
    <row r="828" hidden="1">
      <c r="A828" s="34"/>
    </row>
    <row r="829" hidden="1">
      <c r="A829" s="34"/>
    </row>
    <row r="830" hidden="1">
      <c r="A830" s="34"/>
    </row>
    <row r="831" hidden="1">
      <c r="A831" s="34"/>
    </row>
    <row r="832" hidden="1">
      <c r="A832" s="34"/>
    </row>
    <row r="833" hidden="1">
      <c r="A833" s="34"/>
    </row>
    <row r="834" hidden="1">
      <c r="A834" s="34"/>
    </row>
    <row r="835" hidden="1">
      <c r="A835" s="34"/>
    </row>
    <row r="836" hidden="1">
      <c r="A836" s="34"/>
    </row>
    <row r="837" hidden="1">
      <c r="A837" s="34"/>
    </row>
    <row r="838" hidden="1">
      <c r="A838" s="34"/>
    </row>
    <row r="839" hidden="1">
      <c r="A839" s="34"/>
    </row>
    <row r="840" hidden="1">
      <c r="A840" s="34"/>
    </row>
    <row r="841" hidden="1">
      <c r="A841" s="34"/>
    </row>
    <row r="842" hidden="1">
      <c r="A842" s="34"/>
    </row>
    <row r="843" hidden="1">
      <c r="A843" s="34"/>
    </row>
    <row r="844" hidden="1">
      <c r="A844" s="34"/>
    </row>
    <row r="845" hidden="1">
      <c r="A845" s="34"/>
    </row>
    <row r="846" hidden="1">
      <c r="A846" s="34"/>
    </row>
    <row r="847" hidden="1">
      <c r="A847" s="34"/>
    </row>
    <row r="848" hidden="1">
      <c r="A848" s="34"/>
    </row>
    <row r="849" hidden="1">
      <c r="A849" s="34"/>
    </row>
    <row r="850" hidden="1">
      <c r="A850" s="34"/>
    </row>
    <row r="851" hidden="1">
      <c r="A851" s="34"/>
    </row>
    <row r="852" hidden="1">
      <c r="A852" s="34"/>
    </row>
    <row r="853" hidden="1">
      <c r="A853" s="34"/>
    </row>
    <row r="854" hidden="1">
      <c r="A854" s="34"/>
    </row>
    <row r="855" hidden="1">
      <c r="A855" s="34"/>
    </row>
    <row r="856" hidden="1">
      <c r="A856" s="34"/>
    </row>
    <row r="857" hidden="1">
      <c r="A857" s="34"/>
    </row>
    <row r="858" hidden="1">
      <c r="A858" s="34"/>
    </row>
    <row r="859" hidden="1">
      <c r="A859" s="34"/>
    </row>
    <row r="860" hidden="1">
      <c r="A860" s="34"/>
    </row>
    <row r="861" hidden="1">
      <c r="A861" s="34"/>
    </row>
    <row r="862" hidden="1">
      <c r="A862" s="34"/>
    </row>
    <row r="863" hidden="1">
      <c r="A863" s="34"/>
    </row>
    <row r="864" hidden="1">
      <c r="A864" s="34"/>
    </row>
    <row r="865" hidden="1">
      <c r="A865" s="34"/>
    </row>
    <row r="866" hidden="1">
      <c r="A866" s="34"/>
    </row>
    <row r="867" hidden="1">
      <c r="A867" s="34"/>
    </row>
    <row r="868" hidden="1">
      <c r="A868" s="34"/>
    </row>
    <row r="869" hidden="1">
      <c r="A869" s="34"/>
    </row>
    <row r="870" hidden="1">
      <c r="A870" s="34"/>
    </row>
    <row r="871" hidden="1">
      <c r="A871" s="34"/>
    </row>
    <row r="872" hidden="1">
      <c r="A872" s="34"/>
    </row>
    <row r="873" hidden="1">
      <c r="A873" s="34"/>
    </row>
    <row r="874" hidden="1">
      <c r="A874" s="34"/>
    </row>
    <row r="875" hidden="1">
      <c r="A875" s="34"/>
    </row>
    <row r="876" hidden="1">
      <c r="A876" s="34"/>
    </row>
    <row r="877" hidden="1">
      <c r="A877" s="34"/>
    </row>
    <row r="878" hidden="1">
      <c r="A878" s="34"/>
    </row>
    <row r="879" hidden="1">
      <c r="A879" s="34"/>
    </row>
    <row r="880" hidden="1">
      <c r="A880" s="34"/>
    </row>
    <row r="881" hidden="1">
      <c r="A881" s="34"/>
    </row>
    <row r="882" hidden="1">
      <c r="A882" s="34"/>
    </row>
    <row r="883" hidden="1">
      <c r="A883" s="34"/>
    </row>
    <row r="884" hidden="1">
      <c r="A884" s="34"/>
    </row>
    <row r="885" hidden="1">
      <c r="A885" s="34"/>
    </row>
    <row r="886" hidden="1">
      <c r="A886" s="34"/>
    </row>
    <row r="887" hidden="1">
      <c r="A887" s="34"/>
    </row>
    <row r="888" hidden="1">
      <c r="A888" s="34"/>
    </row>
    <row r="889" hidden="1">
      <c r="A889" s="34"/>
    </row>
    <row r="890" hidden="1">
      <c r="A890" s="34"/>
    </row>
    <row r="891" hidden="1">
      <c r="A891" s="34"/>
    </row>
    <row r="892" hidden="1">
      <c r="A892" s="34"/>
    </row>
    <row r="893" hidden="1">
      <c r="A893" s="34"/>
    </row>
    <row r="894" hidden="1">
      <c r="A894" s="34"/>
    </row>
    <row r="895" hidden="1">
      <c r="A895" s="34"/>
    </row>
    <row r="896" hidden="1">
      <c r="A896" s="34"/>
    </row>
    <row r="897" hidden="1">
      <c r="A897" s="34"/>
    </row>
    <row r="898" hidden="1">
      <c r="A898" s="34"/>
    </row>
    <row r="899" hidden="1">
      <c r="A899" s="34"/>
    </row>
    <row r="900" hidden="1">
      <c r="A900" s="34"/>
    </row>
    <row r="901" hidden="1">
      <c r="A901" s="34"/>
    </row>
    <row r="902" hidden="1">
      <c r="A902" s="34"/>
    </row>
    <row r="903" hidden="1">
      <c r="A903" s="34"/>
    </row>
    <row r="904" hidden="1">
      <c r="A904" s="34"/>
    </row>
    <row r="905" hidden="1">
      <c r="A905" s="34"/>
    </row>
    <row r="906" hidden="1">
      <c r="A906" s="34"/>
    </row>
    <row r="907" hidden="1">
      <c r="A907" s="34"/>
    </row>
    <row r="908" hidden="1">
      <c r="A908" s="34"/>
    </row>
    <row r="909" hidden="1">
      <c r="A909" s="34"/>
    </row>
    <row r="910" hidden="1">
      <c r="A910" s="34"/>
    </row>
    <row r="911" hidden="1">
      <c r="A911" s="34"/>
    </row>
    <row r="912" hidden="1">
      <c r="A912" s="34"/>
    </row>
    <row r="913" hidden="1">
      <c r="A913" s="34"/>
    </row>
    <row r="914" hidden="1">
      <c r="A914" s="34"/>
    </row>
    <row r="915" hidden="1">
      <c r="A915" s="34"/>
    </row>
    <row r="916" hidden="1">
      <c r="A916" s="34"/>
    </row>
    <row r="917" hidden="1">
      <c r="A917" s="34"/>
    </row>
    <row r="918" hidden="1">
      <c r="A918" s="34"/>
    </row>
    <row r="919" hidden="1">
      <c r="A919" s="34"/>
    </row>
    <row r="920" hidden="1">
      <c r="A920" s="34"/>
    </row>
    <row r="921" hidden="1">
      <c r="A921" s="34"/>
    </row>
    <row r="922" hidden="1">
      <c r="A922" s="34"/>
    </row>
    <row r="923" hidden="1">
      <c r="A923" s="34"/>
    </row>
    <row r="924" hidden="1">
      <c r="A924" s="34"/>
    </row>
    <row r="925" hidden="1">
      <c r="A925" s="34"/>
    </row>
    <row r="926" hidden="1">
      <c r="A926" s="34"/>
    </row>
    <row r="927" hidden="1">
      <c r="A927" s="34"/>
    </row>
    <row r="928" hidden="1">
      <c r="A928" s="34"/>
    </row>
    <row r="929" hidden="1">
      <c r="A929" s="34"/>
    </row>
    <row r="930" hidden="1">
      <c r="A930" s="34"/>
    </row>
    <row r="931" hidden="1">
      <c r="A931" s="34"/>
    </row>
    <row r="932" hidden="1">
      <c r="A932" s="34"/>
    </row>
    <row r="933" hidden="1">
      <c r="A933" s="34"/>
    </row>
    <row r="934" hidden="1">
      <c r="A934" s="34"/>
    </row>
    <row r="935" hidden="1">
      <c r="A935" s="34"/>
    </row>
    <row r="936" hidden="1">
      <c r="A936" s="34"/>
    </row>
    <row r="937" hidden="1">
      <c r="A937" s="34"/>
    </row>
    <row r="938" hidden="1">
      <c r="A938" s="34"/>
    </row>
    <row r="939" hidden="1">
      <c r="A939" s="34"/>
    </row>
    <row r="940" hidden="1">
      <c r="A940" s="34"/>
    </row>
    <row r="941" hidden="1">
      <c r="A941" s="34"/>
    </row>
    <row r="942" hidden="1">
      <c r="A942" s="34"/>
    </row>
    <row r="943" hidden="1">
      <c r="A943" s="34"/>
    </row>
    <row r="944" hidden="1">
      <c r="A944" s="34"/>
    </row>
    <row r="945" hidden="1">
      <c r="A945" s="34"/>
    </row>
    <row r="946" hidden="1">
      <c r="A946" s="34"/>
    </row>
    <row r="947" hidden="1">
      <c r="A947" s="34"/>
    </row>
    <row r="948" hidden="1">
      <c r="A948" s="34"/>
    </row>
    <row r="949" hidden="1">
      <c r="A949" s="34"/>
    </row>
    <row r="950" hidden="1">
      <c r="A950" s="34"/>
    </row>
    <row r="951" hidden="1">
      <c r="A951" s="34"/>
    </row>
    <row r="952" hidden="1">
      <c r="A952" s="34"/>
    </row>
    <row r="953" hidden="1">
      <c r="A953" s="34"/>
    </row>
    <row r="954" hidden="1">
      <c r="A954" s="34"/>
    </row>
    <row r="955" hidden="1">
      <c r="A955" s="34"/>
    </row>
    <row r="956" hidden="1">
      <c r="A956" s="34"/>
    </row>
    <row r="957" hidden="1">
      <c r="A957" s="34"/>
    </row>
    <row r="958" hidden="1">
      <c r="A958" s="34"/>
    </row>
    <row r="959" hidden="1">
      <c r="A959" s="34"/>
    </row>
    <row r="960" hidden="1">
      <c r="A960" s="34"/>
    </row>
    <row r="961" hidden="1">
      <c r="A961" s="34"/>
    </row>
    <row r="962" hidden="1">
      <c r="A962" s="34"/>
    </row>
    <row r="963" hidden="1">
      <c r="A963" s="34"/>
    </row>
    <row r="964" hidden="1">
      <c r="A964" s="34"/>
    </row>
    <row r="965" hidden="1">
      <c r="A965" s="34"/>
    </row>
    <row r="966" hidden="1">
      <c r="A966" s="34"/>
    </row>
    <row r="967" hidden="1">
      <c r="A967" s="34"/>
    </row>
    <row r="968" hidden="1">
      <c r="A968" s="34"/>
    </row>
    <row r="969" hidden="1">
      <c r="A969" s="34"/>
    </row>
    <row r="970" hidden="1">
      <c r="A970" s="34"/>
    </row>
    <row r="971" hidden="1">
      <c r="A971" s="34"/>
    </row>
    <row r="972" hidden="1">
      <c r="A972" s="34"/>
    </row>
    <row r="973" hidden="1">
      <c r="A973" s="34"/>
    </row>
    <row r="974" hidden="1">
      <c r="A974" s="34"/>
    </row>
    <row r="975" hidden="1">
      <c r="A975" s="34"/>
    </row>
    <row r="976" hidden="1">
      <c r="A976" s="34"/>
    </row>
    <row r="977" hidden="1">
      <c r="A977" s="34"/>
    </row>
    <row r="978" hidden="1">
      <c r="A978" s="34"/>
    </row>
    <row r="979" hidden="1">
      <c r="A979" s="34"/>
    </row>
    <row r="980" hidden="1">
      <c r="A980" s="34"/>
    </row>
    <row r="981" hidden="1">
      <c r="A981" s="34"/>
    </row>
    <row r="982" hidden="1">
      <c r="A982" s="34"/>
    </row>
    <row r="983" hidden="1">
      <c r="A983" s="34"/>
    </row>
    <row r="984" hidden="1">
      <c r="A984" s="34"/>
    </row>
    <row r="985" hidden="1">
      <c r="A985" s="34"/>
    </row>
    <row r="986" hidden="1">
      <c r="A986" s="34"/>
    </row>
    <row r="987" hidden="1">
      <c r="A987" s="34"/>
    </row>
    <row r="988" hidden="1">
      <c r="A988" s="34"/>
    </row>
    <row r="989" hidden="1">
      <c r="A989" s="34"/>
    </row>
    <row r="990" hidden="1">
      <c r="A990" s="34"/>
    </row>
    <row r="991" hidden="1">
      <c r="A991" s="34"/>
    </row>
    <row r="992" hidden="1">
      <c r="A992" s="34"/>
    </row>
    <row r="993" hidden="1">
      <c r="A993" s="34"/>
    </row>
    <row r="994" hidden="1">
      <c r="A994" s="34"/>
    </row>
    <row r="995" hidden="1">
      <c r="A995" s="34"/>
    </row>
    <row r="996" hidden="1">
      <c r="A996" s="34"/>
    </row>
    <row r="997" hidden="1">
      <c r="A997" s="34"/>
    </row>
    <row r="998" hidden="1">
      <c r="A998" s="34"/>
    </row>
    <row r="999" hidden="1">
      <c r="A999" s="34"/>
    </row>
    <row r="1000" hidden="1">
      <c r="A1000" s="34"/>
    </row>
    <row r="1001">
      <c r="A1001" s="22" t="s">
        <v>60</v>
      </c>
      <c r="B1001" s="31">
        <v>54817.64</v>
      </c>
      <c r="C1001" s="31">
        <v>228.68</v>
      </c>
      <c r="E1001" s="25"/>
      <c r="F1001" s="25"/>
    </row>
    <row r="1002">
      <c r="A1002" s="34"/>
      <c r="C1002" s="9"/>
      <c r="E1002" s="15"/>
    </row>
    <row r="1003">
      <c r="A1003" s="34"/>
      <c r="C1003" s="9"/>
      <c r="E1003" s="35"/>
      <c r="F1003" s="35"/>
    </row>
    <row r="1004">
      <c r="A1004" s="34"/>
      <c r="C1004" s="9"/>
      <c r="E1004" s="15"/>
    </row>
    <row r="1005">
      <c r="A1005" s="34"/>
      <c r="C1005" s="9"/>
      <c r="E1005" s="9"/>
      <c r="F1005" s="9"/>
    </row>
    <row r="1006">
      <c r="A1006" s="34"/>
      <c r="C1006" s="9"/>
    </row>
    <row r="1007">
      <c r="A1007" s="34"/>
      <c r="C1007" s="9"/>
    </row>
    <row r="1008">
      <c r="A1008" s="34"/>
      <c r="C1008" s="9"/>
    </row>
    <row r="1009">
      <c r="A1009" s="34"/>
      <c r="C1009" s="9"/>
    </row>
    <row r="1010">
      <c r="A1010" s="34"/>
      <c r="C1010" s="9"/>
    </row>
    <row r="1011">
      <c r="A1011" s="34"/>
      <c r="C1011" s="9"/>
    </row>
    <row r="1012">
      <c r="A1012" s="34"/>
      <c r="C1012" s="9"/>
    </row>
    <row r="1013">
      <c r="A1013" s="34"/>
      <c r="C1013" s="9"/>
    </row>
    <row r="1014">
      <c r="A1014" s="34"/>
      <c r="C1014" s="9"/>
    </row>
    <row r="1015">
      <c r="A1015" s="34"/>
      <c r="C1015" s="9"/>
    </row>
    <row r="1016">
      <c r="A1016" s="34"/>
      <c r="C1016" s="9"/>
    </row>
    <row r="1017">
      <c r="A1017" s="34"/>
      <c r="C1017" s="9"/>
    </row>
    <row r="1018">
      <c r="A1018" s="34"/>
      <c r="C1018" s="9"/>
    </row>
    <row r="1019">
      <c r="A1019" s="34"/>
      <c r="C1019" s="9"/>
    </row>
    <row r="1020">
      <c r="A1020" s="34"/>
      <c r="C1020" s="9"/>
    </row>
    <row r="1021">
      <c r="A1021" s="34"/>
      <c r="C1021" s="9"/>
    </row>
    <row r="1022">
      <c r="A1022" s="34"/>
      <c r="C1022" s="9"/>
    </row>
    <row r="1023">
      <c r="A1023" s="34"/>
      <c r="C1023" s="9"/>
    </row>
    <row r="1024">
      <c r="A1024" s="34"/>
      <c r="C1024" s="9"/>
    </row>
    <row r="1025">
      <c r="A1025" s="34"/>
      <c r="C1025" s="9"/>
    </row>
    <row r="1026">
      <c r="A1026" s="34"/>
      <c r="C1026" s="9"/>
    </row>
    <row r="1027">
      <c r="A1027" s="34"/>
      <c r="C1027" s="9"/>
    </row>
    <row r="1028">
      <c r="A1028" s="34"/>
      <c r="C1028" s="9"/>
    </row>
    <row r="1029">
      <c r="A1029" s="34"/>
      <c r="C1029" s="9"/>
    </row>
    <row r="1030">
      <c r="A1030" s="34"/>
      <c r="C1030" s="9"/>
    </row>
    <row r="1031">
      <c r="A1031" s="34"/>
      <c r="C1031" s="9"/>
    </row>
    <row r="1032">
      <c r="A1032" s="34"/>
      <c r="C1032" s="9"/>
    </row>
    <row r="1033">
      <c r="A1033" s="34"/>
      <c r="C1033" s="9"/>
    </row>
    <row r="1034">
      <c r="A1034" s="34"/>
      <c r="C1034" s="9"/>
    </row>
    <row r="1035">
      <c r="A1035" s="34"/>
      <c r="C1035" s="9"/>
    </row>
    <row r="1036">
      <c r="A1036" s="34"/>
      <c r="C1036" s="9"/>
    </row>
    <row r="1037">
      <c r="A1037" s="34"/>
      <c r="C1037" s="9"/>
    </row>
    <row r="1038">
      <c r="A1038" s="34"/>
      <c r="C1038" s="9"/>
    </row>
    <row r="1039">
      <c r="A1039" s="34"/>
      <c r="C1039" s="9"/>
    </row>
    <row r="1040">
      <c r="A1040" s="34"/>
      <c r="C1040" s="9"/>
    </row>
    <row r="1041">
      <c r="A1041" s="34"/>
      <c r="C1041" s="9"/>
    </row>
    <row r="1042">
      <c r="A1042" s="34"/>
      <c r="C1042" s="9"/>
    </row>
    <row r="1043">
      <c r="A1043" s="34"/>
      <c r="C1043" s="9"/>
    </row>
    <row r="1044">
      <c r="A1044" s="34"/>
      <c r="C1044" s="9"/>
    </row>
    <row r="1045">
      <c r="A1045" s="34"/>
      <c r="C1045" s="9"/>
    </row>
    <row r="1046">
      <c r="A1046" s="34"/>
      <c r="C1046" s="9"/>
    </row>
    <row r="1047">
      <c r="A1047" s="34"/>
      <c r="C1047" s="9"/>
    </row>
    <row r="1048">
      <c r="A1048" s="34"/>
      <c r="C1048" s="9"/>
    </row>
    <row r="1049">
      <c r="A1049" s="34"/>
      <c r="C1049" s="9"/>
    </row>
    <row r="1050">
      <c r="A1050" s="34"/>
      <c r="C1050" s="9"/>
    </row>
    <row r="1051">
      <c r="A1051" s="34"/>
      <c r="C1051" s="9"/>
    </row>
    <row r="1052">
      <c r="A1052" s="34"/>
      <c r="C1052" s="9"/>
    </row>
    <row r="1053">
      <c r="A1053" s="34"/>
      <c r="C1053" s="9"/>
    </row>
    <row r="1054">
      <c r="A1054" s="34"/>
      <c r="C1054" s="9"/>
    </row>
    <row r="1055">
      <c r="A1055" s="34"/>
      <c r="C1055" s="9"/>
    </row>
    <row r="1056">
      <c r="A1056" s="34"/>
      <c r="C1056" s="9"/>
    </row>
    <row r="1057">
      <c r="A1057" s="34"/>
      <c r="C1057" s="9"/>
    </row>
    <row r="1058">
      <c r="A1058" s="34"/>
      <c r="C1058" s="9"/>
    </row>
    <row r="1059">
      <c r="A1059" s="34"/>
      <c r="C1059" s="9"/>
    </row>
    <row r="1060">
      <c r="A1060" s="34"/>
      <c r="C1060" s="9"/>
    </row>
    <row r="1061">
      <c r="A1061" s="34"/>
      <c r="C1061" s="9"/>
    </row>
    <row r="1062">
      <c r="A1062" s="34"/>
      <c r="C1062" s="9"/>
    </row>
    <row r="1063">
      <c r="A1063" s="34"/>
      <c r="C1063" s="9"/>
    </row>
    <row r="1064">
      <c r="A1064" s="34"/>
      <c r="C1064" s="9"/>
    </row>
    <row r="1065">
      <c r="A1065" s="34"/>
      <c r="C1065" s="9"/>
    </row>
    <row r="1066">
      <c r="A1066" s="34"/>
      <c r="C1066" s="9"/>
    </row>
    <row r="1067">
      <c r="A1067" s="34"/>
      <c r="C1067" s="9"/>
    </row>
    <row r="1068">
      <c r="A1068" s="34"/>
      <c r="C1068" s="9"/>
    </row>
    <row r="1069">
      <c r="A1069" s="34"/>
      <c r="C1069" s="9"/>
    </row>
    <row r="1070">
      <c r="A1070" s="34"/>
      <c r="C1070" s="9"/>
    </row>
    <row r="1071">
      <c r="A1071" s="34"/>
      <c r="C1071" s="9"/>
    </row>
    <row r="1072">
      <c r="A1072" s="34"/>
      <c r="C1072" s="9"/>
    </row>
    <row r="1073">
      <c r="A1073" s="34"/>
      <c r="C1073" s="9"/>
    </row>
    <row r="1074">
      <c r="A1074" s="34"/>
      <c r="C1074" s="9"/>
    </row>
    <row r="1075">
      <c r="A1075" s="34"/>
      <c r="C1075" s="9"/>
    </row>
    <row r="1076">
      <c r="A1076" s="34"/>
      <c r="C1076" s="9"/>
    </row>
    <row r="1077">
      <c r="A1077" s="34"/>
      <c r="C1077" s="9"/>
    </row>
    <row r="1078">
      <c r="A1078" s="34"/>
      <c r="C1078" s="9"/>
    </row>
    <row r="1079">
      <c r="A1079" s="34"/>
      <c r="C1079" s="9"/>
    </row>
    <row r="1080">
      <c r="A1080" s="34"/>
      <c r="C1080" s="9"/>
    </row>
    <row r="1081">
      <c r="A1081" s="34"/>
      <c r="C1081" s="9"/>
    </row>
    <row r="1082">
      <c r="A1082" s="34"/>
      <c r="C1082" s="9"/>
    </row>
    <row r="1083">
      <c r="A1083" s="34"/>
      <c r="C1083" s="9"/>
    </row>
    <row r="1084">
      <c r="A1084" s="34"/>
      <c r="C1084" s="9"/>
    </row>
    <row r="1085">
      <c r="A1085" s="34"/>
      <c r="C1085" s="9"/>
    </row>
    <row r="1086">
      <c r="A1086" s="34"/>
      <c r="C1086" s="9"/>
    </row>
    <row r="1087">
      <c r="A1087" s="34"/>
      <c r="C1087" s="9"/>
    </row>
    <row r="1088">
      <c r="A1088" s="34"/>
      <c r="C1088" s="9"/>
    </row>
    <row r="1089">
      <c r="A1089" s="34"/>
      <c r="C1089" s="9"/>
    </row>
    <row r="1090">
      <c r="A1090" s="34"/>
      <c r="C1090" s="9"/>
    </row>
    <row r="1091">
      <c r="A1091" s="34"/>
      <c r="C1091" s="9"/>
    </row>
    <row r="1092">
      <c r="A1092" s="34"/>
      <c r="C1092" s="9"/>
    </row>
    <row r="1093">
      <c r="A1093" s="34"/>
      <c r="C1093" s="9"/>
    </row>
    <row r="1094">
      <c r="A1094" s="34"/>
      <c r="C1094" s="9"/>
    </row>
    <row r="1095">
      <c r="A1095" s="34"/>
      <c r="C1095" s="9"/>
    </row>
    <row r="1096">
      <c r="A1096" s="34"/>
      <c r="C1096" s="9"/>
    </row>
    <row r="1097">
      <c r="A1097" s="34"/>
      <c r="C1097" s="9"/>
    </row>
    <row r="1098">
      <c r="A1098" s="34"/>
      <c r="C1098" s="9"/>
    </row>
    <row r="1099">
      <c r="A1099" s="34"/>
      <c r="C1099" s="9"/>
    </row>
    <row r="1100">
      <c r="A1100" s="34"/>
      <c r="C1100" s="9"/>
    </row>
    <row r="1101">
      <c r="A1101" s="34"/>
      <c r="C1101" s="9"/>
    </row>
    <row r="1102">
      <c r="A1102" s="34"/>
      <c r="C1102" s="9"/>
    </row>
    <row r="1103">
      <c r="A1103" s="34"/>
      <c r="C1103" s="9"/>
    </row>
    <row r="1104">
      <c r="A1104" s="34"/>
      <c r="C1104" s="9"/>
    </row>
    <row r="1105">
      <c r="A1105" s="34"/>
      <c r="C1105" s="9"/>
    </row>
    <row r="1106">
      <c r="A1106" s="34"/>
      <c r="C1106" s="9"/>
    </row>
    <row r="1107">
      <c r="A1107" s="34"/>
      <c r="C1107" s="9"/>
    </row>
    <row r="1108">
      <c r="A1108" s="34"/>
      <c r="C1108" s="9"/>
    </row>
    <row r="1109">
      <c r="A1109" s="34"/>
      <c r="C1109" s="9"/>
    </row>
    <row r="1110">
      <c r="A1110" s="34"/>
      <c r="C1110" s="9"/>
    </row>
    <row r="1111">
      <c r="A1111" s="34"/>
      <c r="C1111" s="9"/>
    </row>
    <row r="1112">
      <c r="A1112" s="34"/>
      <c r="C1112" s="9"/>
    </row>
    <row r="1113">
      <c r="A1113" s="34"/>
      <c r="C1113" s="9"/>
    </row>
    <row r="1114">
      <c r="A1114" s="34"/>
      <c r="C1114" s="9"/>
    </row>
    <row r="1115">
      <c r="A1115" s="34"/>
      <c r="C1115" s="9"/>
    </row>
    <row r="1116">
      <c r="A1116" s="34"/>
      <c r="C1116" s="9"/>
    </row>
    <row r="1117">
      <c r="A1117" s="34"/>
      <c r="C1117" s="9"/>
    </row>
    <row r="1118">
      <c r="A1118" s="34"/>
      <c r="C1118" s="9"/>
    </row>
    <row r="1119">
      <c r="A1119" s="34"/>
      <c r="C1119" s="9"/>
    </row>
    <row r="1120">
      <c r="A1120" s="34"/>
      <c r="C1120" s="9"/>
    </row>
    <row r="1121">
      <c r="A1121" s="34"/>
      <c r="C1121" s="9"/>
    </row>
    <row r="1122">
      <c r="A1122" s="34"/>
      <c r="C1122" s="9"/>
    </row>
    <row r="1123">
      <c r="A1123" s="34"/>
      <c r="C1123" s="9"/>
    </row>
    <row r="1124">
      <c r="A1124" s="34"/>
      <c r="C1124" s="9"/>
    </row>
    <row r="1125">
      <c r="A1125" s="34"/>
      <c r="C1125" s="9"/>
    </row>
    <row r="1126">
      <c r="A1126" s="34"/>
      <c r="C1126" s="9"/>
    </row>
    <row r="1127">
      <c r="A1127" s="34"/>
      <c r="C1127" s="9"/>
    </row>
    <row r="1128">
      <c r="A1128" s="34"/>
      <c r="C1128" s="9"/>
    </row>
    <row r="1129">
      <c r="A1129" s="34"/>
      <c r="C1129" s="9"/>
    </row>
    <row r="1130">
      <c r="A1130" s="34"/>
      <c r="C1130" s="9"/>
    </row>
    <row r="1131">
      <c r="A1131" s="34"/>
      <c r="C1131" s="9"/>
    </row>
    <row r="1132">
      <c r="A1132" s="34"/>
      <c r="C1132" s="9"/>
    </row>
    <row r="1133">
      <c r="A1133" s="34"/>
      <c r="C1133" s="9"/>
    </row>
    <row r="1134">
      <c r="A1134" s="34"/>
      <c r="C1134" s="9"/>
    </row>
    <row r="1135">
      <c r="A1135" s="34"/>
      <c r="C1135" s="9"/>
    </row>
    <row r="1136">
      <c r="A1136" s="34"/>
      <c r="C1136" s="9"/>
    </row>
    <row r="1137">
      <c r="A1137" s="34"/>
      <c r="C1137" s="9"/>
    </row>
    <row r="1138">
      <c r="A1138" s="34"/>
      <c r="C1138" s="9"/>
    </row>
    <row r="1139">
      <c r="A1139" s="34"/>
      <c r="C1139" s="9"/>
    </row>
    <row r="1140">
      <c r="A1140" s="34"/>
      <c r="C1140" s="9"/>
    </row>
    <row r="1141">
      <c r="A1141" s="34"/>
      <c r="C1141" s="9"/>
    </row>
    <row r="1142">
      <c r="A1142" s="34"/>
      <c r="C1142" s="9"/>
    </row>
    <row r="1143">
      <c r="A1143" s="34"/>
      <c r="C1143" s="9"/>
    </row>
    <row r="1144">
      <c r="A1144" s="34"/>
      <c r="C1144" s="9"/>
    </row>
    <row r="1145">
      <c r="A1145" s="34"/>
      <c r="C1145" s="9"/>
    </row>
    <row r="1146">
      <c r="A1146" s="34"/>
      <c r="C1146" s="9"/>
    </row>
    <row r="1147">
      <c r="A1147" s="34"/>
      <c r="C1147" s="9"/>
    </row>
    <row r="1148">
      <c r="A1148" s="34"/>
      <c r="C1148" s="9"/>
    </row>
    <row r="1149">
      <c r="A1149" s="34"/>
      <c r="C1149" s="9"/>
    </row>
    <row r="1150">
      <c r="A1150" s="34"/>
      <c r="C1150" s="9"/>
    </row>
    <row r="1151">
      <c r="A1151" s="34"/>
      <c r="C1151" s="9"/>
    </row>
    <row r="1152">
      <c r="A1152" s="34"/>
      <c r="C1152" s="9"/>
    </row>
    <row r="1153">
      <c r="A1153" s="34"/>
      <c r="C1153" s="9"/>
    </row>
    <row r="1154">
      <c r="A1154" s="34"/>
      <c r="C1154" s="9"/>
    </row>
    <row r="1155">
      <c r="A1155" s="34"/>
      <c r="C1155" s="9"/>
    </row>
    <row r="1156">
      <c r="A1156" s="34"/>
      <c r="C1156" s="9"/>
    </row>
    <row r="1157">
      <c r="A1157" s="34"/>
      <c r="C1157" s="9"/>
    </row>
    <row r="1158">
      <c r="A1158" s="34"/>
      <c r="C1158" s="9"/>
    </row>
    <row r="1159">
      <c r="A1159" s="34"/>
      <c r="C1159" s="9"/>
    </row>
    <row r="1160">
      <c r="A1160" s="34"/>
      <c r="C1160" s="9"/>
    </row>
    <row r="1161">
      <c r="A1161" s="34"/>
      <c r="C1161" s="9"/>
    </row>
    <row r="1162">
      <c r="A1162" s="34"/>
      <c r="C1162" s="9"/>
    </row>
    <row r="1163">
      <c r="A1163" s="34"/>
      <c r="C1163" s="9"/>
    </row>
    <row r="1164">
      <c r="A1164" s="34"/>
      <c r="C1164" s="9"/>
    </row>
    <row r="1165">
      <c r="A1165" s="34"/>
      <c r="C1165" s="9"/>
    </row>
    <row r="1166">
      <c r="A1166" s="34"/>
      <c r="C1166" s="9"/>
    </row>
    <row r="1167">
      <c r="A1167" s="34"/>
      <c r="C1167" s="9"/>
    </row>
    <row r="1168">
      <c r="A1168" s="34"/>
      <c r="C1168" s="9"/>
    </row>
    <row r="1169">
      <c r="A1169" s="34"/>
      <c r="C1169" s="9"/>
    </row>
    <row r="1170">
      <c r="A1170" s="34"/>
      <c r="C1170" s="9"/>
    </row>
    <row r="1171">
      <c r="A1171" s="34"/>
      <c r="C1171" s="9"/>
    </row>
    <row r="1172">
      <c r="A1172" s="34"/>
      <c r="C1172" s="9"/>
    </row>
    <row r="1173">
      <c r="A1173" s="34"/>
      <c r="C1173" s="9"/>
    </row>
    <row r="1174">
      <c r="A1174" s="34"/>
      <c r="C1174" s="9"/>
    </row>
    <row r="1175">
      <c r="A1175" s="34"/>
      <c r="C1175" s="9"/>
    </row>
    <row r="1176">
      <c r="A1176" s="34"/>
      <c r="C1176" s="9"/>
    </row>
    <row r="1177">
      <c r="A1177" s="34"/>
      <c r="C1177" s="9"/>
    </row>
    <row r="1178">
      <c r="A1178" s="34"/>
      <c r="C1178" s="9"/>
    </row>
    <row r="1179">
      <c r="A1179" s="34"/>
      <c r="C1179" s="9"/>
    </row>
    <row r="1180">
      <c r="A1180" s="34"/>
      <c r="C1180" s="9"/>
    </row>
    <row r="1181">
      <c r="A1181" s="34"/>
      <c r="C1181" s="9"/>
    </row>
    <row r="1182">
      <c r="A1182" s="34"/>
      <c r="C1182" s="9"/>
    </row>
    <row r="1183">
      <c r="A1183" s="34"/>
      <c r="C1183" s="9"/>
    </row>
    <row r="1184">
      <c r="A1184" s="34"/>
      <c r="C1184" s="9"/>
    </row>
    <row r="1185">
      <c r="A1185" s="34"/>
      <c r="C1185" s="9"/>
    </row>
    <row r="1186">
      <c r="A1186" s="34"/>
      <c r="C1186" s="9"/>
    </row>
    <row r="1187">
      <c r="A1187" s="34"/>
      <c r="C1187" s="9"/>
    </row>
    <row r="1188">
      <c r="A1188" s="34"/>
      <c r="C1188" s="9"/>
    </row>
    <row r="1189">
      <c r="A1189" s="34"/>
      <c r="C1189" s="9"/>
    </row>
    <row r="1190">
      <c r="A1190" s="34"/>
      <c r="C1190" s="9"/>
    </row>
    <row r="1191">
      <c r="A1191" s="34"/>
      <c r="C1191" s="9"/>
    </row>
    <row r="1192">
      <c r="A1192" s="34"/>
      <c r="C1192" s="9"/>
    </row>
    <row r="1193">
      <c r="A1193" s="34"/>
      <c r="C1193" s="9"/>
    </row>
    <row r="1194">
      <c r="A1194" s="34"/>
      <c r="C1194" s="9"/>
    </row>
    <row r="1195">
      <c r="A1195" s="34"/>
      <c r="C1195" s="9"/>
    </row>
    <row r="1196">
      <c r="A1196" s="34"/>
      <c r="C1196" s="9"/>
    </row>
    <row r="1197">
      <c r="A1197" s="34"/>
      <c r="C1197" s="9"/>
    </row>
    <row r="1198">
      <c r="A1198" s="34"/>
      <c r="C1198" s="9"/>
    </row>
    <row r="1199">
      <c r="A1199" s="34"/>
      <c r="C1199" s="9"/>
    </row>
    <row r="1200">
      <c r="A1200" s="34"/>
      <c r="C1200" s="9"/>
    </row>
    <row r="1201">
      <c r="A1201" s="34"/>
      <c r="C1201" s="9"/>
    </row>
    <row r="1202">
      <c r="A1202" s="34"/>
      <c r="C1202" s="9"/>
    </row>
    <row r="1203">
      <c r="A1203" s="34"/>
      <c r="C1203" s="9"/>
    </row>
    <row r="1204">
      <c r="A1204" s="34"/>
      <c r="C1204" s="9"/>
    </row>
    <row r="1205">
      <c r="A1205" s="34"/>
      <c r="C1205" s="9"/>
    </row>
    <row r="1206">
      <c r="A1206" s="34"/>
      <c r="C1206" s="9"/>
    </row>
    <row r="1207">
      <c r="A1207" s="34"/>
      <c r="C1207" s="9"/>
    </row>
    <row r="1208">
      <c r="A1208" s="34"/>
      <c r="C1208" s="9"/>
    </row>
    <row r="1209">
      <c r="A1209" s="34"/>
      <c r="C1209" s="9"/>
    </row>
    <row r="1210">
      <c r="A1210" s="34"/>
      <c r="C1210" s="9"/>
    </row>
    <row r="1211">
      <c r="A1211" s="34"/>
      <c r="C1211" s="9"/>
    </row>
    <row r="1212">
      <c r="A1212" s="34"/>
      <c r="C1212" s="9"/>
    </row>
    <row r="1213">
      <c r="A1213" s="34"/>
      <c r="C1213" s="9"/>
    </row>
    <row r="1214">
      <c r="A1214" s="34"/>
      <c r="C1214" s="9"/>
    </row>
    <row r="1215">
      <c r="A1215" s="34"/>
      <c r="C1215" s="9"/>
    </row>
    <row r="1216">
      <c r="A1216" s="34"/>
      <c r="C1216" s="9"/>
    </row>
    <row r="1217">
      <c r="A1217" s="34"/>
      <c r="C1217" s="9"/>
    </row>
    <row r="1218">
      <c r="A1218" s="34"/>
      <c r="C1218" s="9"/>
    </row>
    <row r="1219">
      <c r="A1219" s="34"/>
      <c r="C1219" s="9"/>
    </row>
    <row r="1220">
      <c r="A1220" s="34"/>
      <c r="C1220" s="9"/>
    </row>
    <row r="1221">
      <c r="A1221" s="34"/>
      <c r="C1221" s="9"/>
    </row>
    <row r="1222">
      <c r="A1222" s="34"/>
      <c r="C1222" s="9"/>
    </row>
    <row r="1223">
      <c r="A1223" s="34"/>
      <c r="C1223" s="9"/>
    </row>
    <row r="1224">
      <c r="A1224" s="34"/>
      <c r="C1224" s="9"/>
    </row>
    <row r="1225">
      <c r="A1225" s="34"/>
      <c r="C1225" s="9"/>
    </row>
    <row r="1226">
      <c r="A1226" s="34"/>
      <c r="C1226" s="9"/>
    </row>
    <row r="1227">
      <c r="A1227" s="34"/>
      <c r="C1227" s="9"/>
    </row>
    <row r="1228">
      <c r="A1228" s="34"/>
      <c r="C1228" s="9"/>
    </row>
    <row r="1229">
      <c r="A1229" s="34"/>
      <c r="C1229" s="9"/>
    </row>
    <row r="1230">
      <c r="A1230" s="34"/>
      <c r="C1230" s="9"/>
    </row>
    <row r="1231">
      <c r="A1231" s="34"/>
      <c r="C1231" s="9"/>
    </row>
    <row r="1232">
      <c r="A1232" s="34"/>
      <c r="C1232" s="9"/>
    </row>
    <row r="1233">
      <c r="A1233" s="34"/>
      <c r="C1233" s="9"/>
    </row>
    <row r="1234">
      <c r="A1234" s="34"/>
      <c r="C1234" s="9"/>
    </row>
    <row r="1235">
      <c r="A1235" s="34"/>
      <c r="C1235" s="9"/>
    </row>
    <row r="1236">
      <c r="A1236" s="34"/>
      <c r="C1236" s="9"/>
    </row>
    <row r="1237">
      <c r="A1237" s="34"/>
      <c r="C1237" s="9"/>
    </row>
    <row r="1238">
      <c r="A1238" s="34"/>
      <c r="C1238" s="9"/>
    </row>
    <row r="1239">
      <c r="A1239" s="34"/>
      <c r="C1239" s="9"/>
    </row>
    <row r="1240">
      <c r="A1240" s="34"/>
      <c r="C1240" s="9"/>
    </row>
    <row r="1241">
      <c r="A1241" s="34"/>
      <c r="C1241" s="9"/>
    </row>
    <row r="1242">
      <c r="A1242" s="34"/>
      <c r="C1242" s="9"/>
    </row>
    <row r="1243">
      <c r="A1243" s="34"/>
      <c r="C1243" s="9"/>
    </row>
    <row r="1244">
      <c r="A1244" s="34"/>
      <c r="C1244" s="9"/>
    </row>
    <row r="1245">
      <c r="A1245" s="34"/>
      <c r="C1245" s="9"/>
    </row>
    <row r="1246">
      <c r="A1246" s="34"/>
      <c r="C1246" s="9"/>
    </row>
    <row r="1247">
      <c r="A1247" s="34"/>
      <c r="C1247" s="9"/>
    </row>
    <row r="1248">
      <c r="A1248" s="34"/>
      <c r="C1248" s="9"/>
    </row>
    <row r="1249">
      <c r="A1249" s="34"/>
      <c r="C1249" s="9"/>
    </row>
    <row r="1250">
      <c r="A1250" s="34"/>
      <c r="C1250" s="9"/>
    </row>
    <row r="1251">
      <c r="A1251" s="34"/>
      <c r="C1251" s="9"/>
    </row>
    <row r="1252">
      <c r="A1252" s="34"/>
      <c r="C1252" s="9"/>
    </row>
    <row r="1253">
      <c r="A1253" s="34"/>
      <c r="C1253" s="9"/>
    </row>
    <row r="1254">
      <c r="A1254" s="34"/>
      <c r="C1254" s="9"/>
    </row>
    <row r="1255">
      <c r="A1255" s="34"/>
      <c r="C1255" s="9"/>
    </row>
    <row r="1256">
      <c r="A1256" s="34"/>
      <c r="C1256" s="9"/>
    </row>
    <row r="1257">
      <c r="A1257" s="34"/>
      <c r="C1257" s="9"/>
    </row>
    <row r="1258">
      <c r="A1258" s="34"/>
      <c r="C1258" s="9"/>
    </row>
    <row r="1259">
      <c r="A1259" s="34"/>
      <c r="C1259" s="9"/>
    </row>
    <row r="1260">
      <c r="A1260" s="34"/>
      <c r="C1260" s="9"/>
    </row>
    <row r="1261">
      <c r="A1261" s="34"/>
      <c r="C1261" s="9"/>
    </row>
    <row r="1262">
      <c r="A1262" s="34"/>
      <c r="C1262" s="9"/>
    </row>
    <row r="1263">
      <c r="A1263" s="34"/>
      <c r="C1263" s="9"/>
    </row>
    <row r="1264">
      <c r="A1264" s="34"/>
      <c r="C1264" s="9"/>
    </row>
    <row r="1265">
      <c r="A1265" s="34"/>
      <c r="C1265" s="9"/>
    </row>
    <row r="1266">
      <c r="A1266" s="34"/>
      <c r="C1266" s="9"/>
    </row>
    <row r="1267">
      <c r="A1267" s="34"/>
      <c r="C1267" s="9"/>
    </row>
    <row r="1268">
      <c r="A1268" s="34"/>
      <c r="C1268" s="9"/>
    </row>
    <row r="1269">
      <c r="A1269" s="34"/>
      <c r="C1269" s="9"/>
    </row>
    <row r="1270">
      <c r="A1270" s="34"/>
      <c r="C1270" s="9"/>
    </row>
    <row r="1271">
      <c r="A1271" s="34"/>
      <c r="C1271" s="9"/>
    </row>
    <row r="1272">
      <c r="A1272" s="34"/>
      <c r="C1272" s="9"/>
    </row>
    <row r="1273">
      <c r="A1273" s="34"/>
      <c r="C1273" s="9"/>
    </row>
    <row r="1274">
      <c r="A1274" s="34"/>
      <c r="C1274" s="9"/>
    </row>
    <row r="1275">
      <c r="A1275" s="34"/>
      <c r="C1275" s="9"/>
    </row>
    <row r="1276">
      <c r="A1276" s="34"/>
      <c r="C1276" s="9"/>
    </row>
    <row r="1277">
      <c r="A1277" s="34"/>
      <c r="C1277" s="9"/>
    </row>
    <row r="1278">
      <c r="A1278" s="34"/>
      <c r="C1278" s="9"/>
    </row>
    <row r="1279">
      <c r="A1279" s="34"/>
      <c r="C1279" s="9"/>
    </row>
    <row r="1280">
      <c r="A1280" s="34"/>
      <c r="C1280" s="9"/>
    </row>
    <row r="1281">
      <c r="A1281" s="34"/>
      <c r="C1281" s="9"/>
    </row>
    <row r="1282">
      <c r="A1282" s="34"/>
      <c r="C1282" s="9"/>
    </row>
    <row r="1283">
      <c r="A1283" s="34"/>
      <c r="C1283" s="9"/>
    </row>
    <row r="1284">
      <c r="A1284" s="34"/>
      <c r="C1284" s="9"/>
    </row>
    <row r="1285">
      <c r="A1285" s="34"/>
      <c r="C1285" s="9"/>
    </row>
    <row r="1286">
      <c r="A1286" s="34"/>
      <c r="C1286" s="9"/>
    </row>
    <row r="1287">
      <c r="A1287" s="34"/>
      <c r="C1287" s="9"/>
    </row>
    <row r="1288">
      <c r="A1288" s="34"/>
      <c r="C1288" s="9"/>
    </row>
    <row r="1289">
      <c r="A1289" s="34"/>
      <c r="C1289" s="9"/>
    </row>
    <row r="1290">
      <c r="A1290" s="34"/>
      <c r="C1290" s="9"/>
    </row>
    <row r="1291">
      <c r="A1291" s="34"/>
      <c r="C1291" s="9"/>
    </row>
    <row r="1292">
      <c r="A1292" s="34"/>
      <c r="C1292" s="9"/>
    </row>
    <row r="1293">
      <c r="A1293" s="34"/>
      <c r="C1293" s="9"/>
    </row>
    <row r="1294">
      <c r="A1294" s="34"/>
      <c r="C1294" s="9"/>
    </row>
    <row r="1295">
      <c r="A1295" s="34"/>
      <c r="C1295" s="9"/>
    </row>
    <row r="1296">
      <c r="A1296" s="34"/>
      <c r="C1296" s="9"/>
    </row>
    <row r="1297">
      <c r="A1297" s="34"/>
      <c r="C1297" s="9"/>
    </row>
    <row r="1298">
      <c r="A1298" s="34"/>
      <c r="C1298" s="9"/>
    </row>
    <row r="1299">
      <c r="A1299" s="34"/>
      <c r="C1299" s="9"/>
    </row>
    <row r="1300">
      <c r="A1300" s="34"/>
      <c r="C1300" s="9"/>
    </row>
    <row r="1301">
      <c r="A1301" s="34"/>
      <c r="C1301" s="9"/>
    </row>
    <row r="1302">
      <c r="A1302" s="34"/>
      <c r="C1302" s="9"/>
    </row>
    <row r="1303">
      <c r="A1303" s="34"/>
      <c r="C1303" s="9"/>
    </row>
    <row r="1304">
      <c r="A1304" s="34"/>
      <c r="C1304" s="9"/>
    </row>
    <row r="1305">
      <c r="A1305" s="34"/>
      <c r="C1305" s="9"/>
    </row>
    <row r="1306">
      <c r="A1306" s="34"/>
      <c r="C1306" s="9"/>
    </row>
    <row r="1307">
      <c r="A1307" s="34"/>
      <c r="C1307" s="9"/>
    </row>
    <row r="1308">
      <c r="A1308" s="34"/>
      <c r="C1308" s="9"/>
    </row>
    <row r="1309">
      <c r="A1309" s="34"/>
      <c r="C1309" s="9"/>
    </row>
    <row r="1310">
      <c r="A1310" s="34"/>
      <c r="C1310" s="9"/>
    </row>
    <row r="1311">
      <c r="A1311" s="34"/>
      <c r="C1311" s="9"/>
    </row>
    <row r="1312">
      <c r="A1312" s="34"/>
      <c r="C1312" s="9"/>
    </row>
    <row r="1313">
      <c r="A1313" s="34"/>
      <c r="C1313" s="9"/>
    </row>
    <row r="1314">
      <c r="A1314" s="34"/>
      <c r="C1314" s="9"/>
    </row>
    <row r="1315">
      <c r="A1315" s="34"/>
      <c r="C1315" s="9"/>
    </row>
    <row r="1316">
      <c r="A1316" s="34"/>
      <c r="C1316" s="9"/>
    </row>
    <row r="1317">
      <c r="A1317" s="34"/>
      <c r="C1317" s="9"/>
    </row>
    <row r="1318">
      <c r="A1318" s="34"/>
      <c r="C1318" s="9"/>
    </row>
    <row r="1319">
      <c r="A1319" s="34"/>
      <c r="C1319" s="9"/>
    </row>
    <row r="1320">
      <c r="A1320" s="34"/>
      <c r="C1320" s="9"/>
    </row>
    <row r="1321">
      <c r="A1321" s="34"/>
      <c r="C1321" s="9"/>
    </row>
    <row r="1322">
      <c r="A1322" s="34"/>
      <c r="C1322" s="9"/>
    </row>
    <row r="1323">
      <c r="A1323" s="34"/>
      <c r="C1323" s="9"/>
    </row>
    <row r="1324">
      <c r="A1324" s="34"/>
      <c r="C1324" s="9"/>
    </row>
    <row r="1325">
      <c r="A1325" s="34"/>
      <c r="C1325" s="9"/>
    </row>
    <row r="1326">
      <c r="A1326" s="34"/>
      <c r="C1326" s="9"/>
    </row>
    <row r="1327">
      <c r="A1327" s="34"/>
      <c r="C1327" s="9"/>
    </row>
    <row r="1328">
      <c r="A1328" s="34"/>
      <c r="C1328" s="9"/>
    </row>
    <row r="1329">
      <c r="A1329" s="34"/>
      <c r="C1329" s="9"/>
    </row>
    <row r="1330">
      <c r="A1330" s="34"/>
      <c r="C1330" s="9"/>
    </row>
    <row r="1331">
      <c r="A1331" s="34"/>
      <c r="C1331" s="9"/>
    </row>
    <row r="1332">
      <c r="A1332" s="34"/>
      <c r="C1332" s="9"/>
    </row>
    <row r="1333">
      <c r="A1333" s="34"/>
      <c r="C1333" s="9"/>
    </row>
    <row r="1334">
      <c r="A1334" s="34"/>
      <c r="C1334" s="9"/>
    </row>
    <row r="1335">
      <c r="A1335" s="34"/>
      <c r="C1335" s="9"/>
    </row>
    <row r="1336">
      <c r="A1336" s="34"/>
      <c r="C1336" s="9"/>
    </row>
    <row r="1337">
      <c r="A1337" s="34"/>
      <c r="C1337" s="9"/>
    </row>
    <row r="1338">
      <c r="A1338" s="34"/>
      <c r="C1338" s="9"/>
    </row>
    <row r="1339">
      <c r="A1339" s="34"/>
      <c r="C1339" s="9"/>
    </row>
    <row r="1340">
      <c r="A1340" s="34"/>
      <c r="C1340" s="9"/>
    </row>
    <row r="1341">
      <c r="A1341" s="34"/>
      <c r="C1341" s="9"/>
    </row>
    <row r="1342">
      <c r="A1342" s="34"/>
      <c r="C1342" s="9"/>
    </row>
    <row r="1343">
      <c r="A1343" s="34"/>
      <c r="C1343" s="9"/>
    </row>
    <row r="1344">
      <c r="A1344" s="34"/>
      <c r="C1344" s="9"/>
    </row>
    <row r="1345">
      <c r="A1345" s="34"/>
      <c r="C1345" s="9"/>
    </row>
    <row r="1346">
      <c r="A1346" s="34"/>
      <c r="C1346" s="9"/>
    </row>
    <row r="1347">
      <c r="A1347" s="34"/>
      <c r="C1347" s="9"/>
    </row>
    <row r="1348">
      <c r="A1348" s="34"/>
      <c r="C1348" s="9"/>
    </row>
    <row r="1349">
      <c r="A1349" s="34"/>
      <c r="C1349" s="9"/>
    </row>
    <row r="1350">
      <c r="A1350" s="34"/>
      <c r="C1350" s="9"/>
    </row>
    <row r="1351">
      <c r="A1351" s="34"/>
      <c r="C1351" s="9"/>
    </row>
    <row r="1352">
      <c r="A1352" s="34"/>
      <c r="C1352" s="9"/>
    </row>
    <row r="1353">
      <c r="A1353" s="34"/>
      <c r="C1353" s="9"/>
    </row>
    <row r="1354">
      <c r="A1354" s="34"/>
      <c r="C1354" s="9"/>
    </row>
    <row r="1355">
      <c r="A1355" s="34"/>
      <c r="C1355" s="9"/>
    </row>
    <row r="1356">
      <c r="A1356" s="34"/>
      <c r="C1356" s="9"/>
    </row>
    <row r="1357">
      <c r="A1357" s="34"/>
      <c r="C1357" s="9"/>
    </row>
    <row r="1358">
      <c r="A1358" s="34"/>
      <c r="C1358" s="9"/>
    </row>
    <row r="1359">
      <c r="A1359" s="34"/>
      <c r="C1359" s="9"/>
    </row>
    <row r="1360">
      <c r="A1360" s="34"/>
      <c r="C1360" s="9"/>
    </row>
    <row r="1361">
      <c r="A1361" s="34"/>
      <c r="C1361" s="9"/>
    </row>
    <row r="1362">
      <c r="A1362" s="34"/>
      <c r="C1362" s="9"/>
    </row>
    <row r="1363">
      <c r="A1363" s="34"/>
      <c r="C1363" s="9"/>
    </row>
    <row r="1364">
      <c r="A1364" s="34"/>
      <c r="C1364" s="9"/>
    </row>
    <row r="1365">
      <c r="A1365" s="34"/>
      <c r="C1365" s="9"/>
    </row>
    <row r="1366">
      <c r="A1366" s="34"/>
      <c r="C1366" s="9"/>
    </row>
    <row r="1367">
      <c r="A1367" s="34"/>
      <c r="C1367" s="9"/>
    </row>
    <row r="1368">
      <c r="A1368" s="34"/>
      <c r="C1368" s="9"/>
    </row>
    <row r="1369">
      <c r="A1369" s="34"/>
      <c r="C1369" s="9"/>
    </row>
    <row r="1370">
      <c r="A1370" s="34"/>
      <c r="C1370" s="9"/>
    </row>
    <row r="1371">
      <c r="A1371" s="34"/>
      <c r="C1371" s="9"/>
    </row>
    <row r="1372">
      <c r="A1372" s="34"/>
      <c r="C1372" s="9"/>
    </row>
    <row r="1373">
      <c r="A1373" s="34"/>
      <c r="C1373" s="9"/>
    </row>
    <row r="1374">
      <c r="A1374" s="34"/>
      <c r="C1374" s="9"/>
    </row>
    <row r="1375">
      <c r="A1375" s="34"/>
      <c r="C1375" s="9"/>
    </row>
    <row r="1376">
      <c r="A1376" s="34"/>
      <c r="C1376" s="9"/>
    </row>
    <row r="1377">
      <c r="A1377" s="34"/>
      <c r="C1377" s="9"/>
    </row>
    <row r="1378">
      <c r="A1378" s="34"/>
      <c r="C1378" s="9"/>
    </row>
    <row r="1379">
      <c r="A1379" s="34"/>
      <c r="C1379" s="9"/>
    </row>
    <row r="1380">
      <c r="A1380" s="34"/>
      <c r="C1380" s="9"/>
    </row>
    <row r="1381">
      <c r="A1381" s="34"/>
      <c r="C1381" s="9"/>
    </row>
    <row r="1382">
      <c r="A1382" s="34"/>
      <c r="C1382" s="9"/>
    </row>
    <row r="1383">
      <c r="A1383" s="34"/>
      <c r="C1383" s="9"/>
    </row>
    <row r="1384">
      <c r="A1384" s="34"/>
      <c r="C1384" s="9"/>
    </row>
    <row r="1385">
      <c r="A1385" s="34"/>
      <c r="C1385" s="9"/>
    </row>
    <row r="1386">
      <c r="A1386" s="34"/>
      <c r="C1386" s="9"/>
    </row>
    <row r="1387">
      <c r="A1387" s="34"/>
      <c r="C1387" s="9"/>
    </row>
    <row r="1388">
      <c r="A1388" s="34"/>
      <c r="C1388" s="9"/>
    </row>
    <row r="1389">
      <c r="A1389" s="34"/>
      <c r="C1389" s="9"/>
    </row>
    <row r="1390">
      <c r="A1390" s="34"/>
      <c r="C1390" s="9"/>
    </row>
    <row r="1391">
      <c r="A1391" s="34"/>
      <c r="C1391" s="9"/>
    </row>
    <row r="1392">
      <c r="A1392" s="34"/>
      <c r="C1392" s="9"/>
    </row>
    <row r="1393">
      <c r="A1393" s="34"/>
      <c r="C1393" s="9"/>
    </row>
    <row r="1394">
      <c r="A1394" s="34"/>
      <c r="C1394" s="9"/>
    </row>
    <row r="1395">
      <c r="A1395" s="34"/>
      <c r="C1395" s="9"/>
    </row>
    <row r="1396">
      <c r="A1396" s="34"/>
      <c r="C1396" s="9"/>
    </row>
    <row r="1397">
      <c r="A1397" s="34"/>
      <c r="C1397" s="9"/>
    </row>
    <row r="1398">
      <c r="A1398" s="34"/>
      <c r="C1398" s="9"/>
    </row>
    <row r="1399">
      <c r="A1399" s="34"/>
      <c r="C1399" s="9"/>
    </row>
    <row r="1400">
      <c r="A1400" s="34"/>
      <c r="C1400" s="9"/>
    </row>
    <row r="1401">
      <c r="A1401" s="34"/>
      <c r="C1401" s="9"/>
    </row>
    <row r="1402">
      <c r="A1402" s="34"/>
      <c r="C1402" s="9"/>
    </row>
    <row r="1403">
      <c r="A1403" s="34"/>
      <c r="C1403" s="9"/>
    </row>
    <row r="1404">
      <c r="A1404" s="34"/>
      <c r="C1404" s="9"/>
    </row>
    <row r="1405">
      <c r="A1405" s="34"/>
      <c r="C1405" s="9"/>
    </row>
    <row r="1406">
      <c r="A1406" s="34"/>
      <c r="C1406" s="9"/>
    </row>
    <row r="1407">
      <c r="A1407" s="34"/>
      <c r="C1407" s="9"/>
    </row>
    <row r="1408">
      <c r="A1408" s="34"/>
      <c r="C1408" s="9"/>
    </row>
    <row r="1409">
      <c r="A1409" s="34"/>
      <c r="C1409" s="9"/>
    </row>
    <row r="1410">
      <c r="A1410" s="34"/>
      <c r="C1410" s="9"/>
    </row>
    <row r="1411">
      <c r="A1411" s="34"/>
      <c r="C1411" s="9"/>
    </row>
    <row r="1412">
      <c r="A1412" s="34"/>
      <c r="C1412" s="9"/>
    </row>
    <row r="1413">
      <c r="A1413" s="34"/>
      <c r="C1413" s="9"/>
    </row>
    <row r="1414">
      <c r="A1414" s="34"/>
      <c r="C1414" s="9"/>
    </row>
    <row r="1415">
      <c r="A1415" s="34"/>
      <c r="C1415" s="9"/>
    </row>
    <row r="1416">
      <c r="A1416" s="34"/>
      <c r="C1416" s="9"/>
    </row>
    <row r="1417">
      <c r="A1417" s="34"/>
      <c r="C1417" s="9"/>
    </row>
    <row r="1418">
      <c r="A1418" s="34"/>
      <c r="C1418" s="9"/>
    </row>
    <row r="1419">
      <c r="A1419" s="34"/>
      <c r="C1419" s="9"/>
    </row>
    <row r="1420">
      <c r="A1420" s="34"/>
      <c r="C1420" s="9"/>
    </row>
    <row r="1421">
      <c r="A1421" s="34"/>
      <c r="C1421" s="9"/>
    </row>
    <row r="1422">
      <c r="A1422" s="34"/>
      <c r="C1422" s="9"/>
    </row>
    <row r="1423">
      <c r="A1423" s="34"/>
      <c r="C1423" s="9"/>
    </row>
    <row r="1424">
      <c r="A1424" s="34"/>
      <c r="C1424" s="9"/>
    </row>
    <row r="1425">
      <c r="A1425" s="34"/>
      <c r="C1425" s="9"/>
    </row>
    <row r="1426">
      <c r="A1426" s="34"/>
      <c r="C1426" s="9"/>
    </row>
    <row r="1427">
      <c r="A1427" s="34"/>
      <c r="C1427" s="9"/>
    </row>
    <row r="1428">
      <c r="A1428" s="34"/>
      <c r="C1428" s="9"/>
    </row>
    <row r="1429">
      <c r="A1429" s="34"/>
      <c r="C1429" s="9"/>
    </row>
    <row r="1430">
      <c r="A1430" s="34"/>
      <c r="C1430" s="9"/>
    </row>
    <row r="1431">
      <c r="A1431" s="34"/>
      <c r="C1431" s="9"/>
    </row>
    <row r="1432">
      <c r="A1432" s="34"/>
      <c r="C1432" s="9"/>
    </row>
    <row r="1433">
      <c r="A1433" s="34"/>
      <c r="C1433" s="9"/>
    </row>
    <row r="1434">
      <c r="A1434" s="34"/>
      <c r="C1434" s="9"/>
    </row>
    <row r="1435">
      <c r="A1435" s="34"/>
      <c r="C1435" s="9"/>
    </row>
    <row r="1436">
      <c r="A1436" s="34"/>
      <c r="C1436" s="9"/>
    </row>
    <row r="1437">
      <c r="A1437" s="34"/>
      <c r="C1437" s="9"/>
    </row>
    <row r="1438">
      <c r="A1438" s="34"/>
      <c r="C1438" s="9"/>
    </row>
    <row r="1439">
      <c r="A1439" s="34"/>
      <c r="C1439" s="9"/>
    </row>
    <row r="1440">
      <c r="A1440" s="34"/>
      <c r="C1440" s="9"/>
    </row>
    <row r="1441">
      <c r="A1441" s="34"/>
      <c r="C1441" s="9"/>
    </row>
    <row r="1442">
      <c r="A1442" s="34"/>
      <c r="C1442" s="9"/>
    </row>
    <row r="1443">
      <c r="A1443" s="34"/>
      <c r="C1443" s="9"/>
    </row>
    <row r="1444">
      <c r="A1444" s="34"/>
      <c r="C1444" s="9"/>
    </row>
    <row r="1445">
      <c r="A1445" s="34"/>
      <c r="C1445" s="9"/>
    </row>
    <row r="1446">
      <c r="A1446" s="34"/>
      <c r="C1446" s="9"/>
    </row>
    <row r="1447">
      <c r="A1447" s="34"/>
      <c r="C1447" s="9"/>
    </row>
    <row r="1448">
      <c r="A1448" s="34"/>
      <c r="C1448" s="9"/>
    </row>
    <row r="1449">
      <c r="A1449" s="34"/>
      <c r="C1449" s="9"/>
    </row>
    <row r="1450">
      <c r="A1450" s="34"/>
      <c r="C1450" s="9"/>
    </row>
    <row r="1451">
      <c r="A1451" s="34"/>
      <c r="C1451" s="9"/>
    </row>
    <row r="1452">
      <c r="A1452" s="34"/>
      <c r="C1452" s="9"/>
    </row>
    <row r="1453">
      <c r="A1453" s="34"/>
      <c r="C1453" s="9"/>
    </row>
    <row r="1454">
      <c r="A1454" s="34"/>
      <c r="C1454" s="9"/>
    </row>
    <row r="1455">
      <c r="A1455" s="34"/>
      <c r="C1455" s="9"/>
    </row>
    <row r="1456">
      <c r="A1456" s="34"/>
      <c r="C1456" s="9"/>
    </row>
    <row r="1457">
      <c r="A1457" s="34"/>
      <c r="C1457" s="9"/>
    </row>
    <row r="1458">
      <c r="A1458" s="34"/>
      <c r="C1458" s="9"/>
    </row>
    <row r="1459">
      <c r="A1459" s="34"/>
      <c r="C1459" s="9"/>
    </row>
    <row r="1460">
      <c r="A1460" s="34"/>
      <c r="C1460" s="9"/>
    </row>
    <row r="1461">
      <c r="A1461" s="34"/>
      <c r="C1461" s="9"/>
    </row>
    <row r="1462">
      <c r="A1462" s="34"/>
      <c r="C1462" s="9"/>
    </row>
    <row r="1463">
      <c r="A1463" s="34"/>
      <c r="C1463" s="9"/>
    </row>
    <row r="1464">
      <c r="A1464" s="34"/>
      <c r="C1464" s="9"/>
    </row>
    <row r="1465">
      <c r="A1465" s="34"/>
      <c r="C1465" s="9"/>
    </row>
    <row r="1466">
      <c r="A1466" s="34"/>
      <c r="C1466" s="9"/>
    </row>
    <row r="1467">
      <c r="A1467" s="34"/>
      <c r="C1467" s="9"/>
    </row>
    <row r="1468">
      <c r="A1468" s="34"/>
      <c r="C1468" s="9"/>
    </row>
    <row r="1469">
      <c r="A1469" s="34"/>
      <c r="C1469" s="9"/>
    </row>
    <row r="1470">
      <c r="A1470" s="34"/>
      <c r="C1470" s="9"/>
    </row>
    <row r="1471">
      <c r="A1471" s="34"/>
      <c r="C1471" s="9"/>
    </row>
    <row r="1472">
      <c r="A1472" s="34"/>
      <c r="C1472" s="9"/>
    </row>
    <row r="1473">
      <c r="A1473" s="34"/>
      <c r="C1473" s="9"/>
    </row>
    <row r="1474">
      <c r="A1474" s="34"/>
      <c r="C1474" s="9"/>
    </row>
    <row r="1475">
      <c r="A1475" s="34"/>
      <c r="C1475" s="9"/>
    </row>
    <row r="1476">
      <c r="A1476" s="34"/>
      <c r="C1476" s="9"/>
    </row>
    <row r="1477">
      <c r="A1477" s="34"/>
      <c r="C1477" s="9"/>
    </row>
    <row r="1478">
      <c r="A1478" s="34"/>
      <c r="C1478" s="9"/>
    </row>
    <row r="1479">
      <c r="A1479" s="34"/>
      <c r="C1479" s="9"/>
    </row>
    <row r="1480">
      <c r="A1480" s="34"/>
      <c r="C1480" s="9"/>
    </row>
    <row r="1481">
      <c r="A1481" s="34"/>
      <c r="C1481" s="9"/>
    </row>
    <row r="1482">
      <c r="A1482" s="34"/>
      <c r="C1482" s="9"/>
    </row>
    <row r="1483">
      <c r="A1483" s="34"/>
      <c r="C1483" s="9"/>
    </row>
    <row r="1484">
      <c r="A1484" s="34"/>
      <c r="C1484" s="9"/>
    </row>
    <row r="1485">
      <c r="A1485" s="34"/>
      <c r="C1485" s="9"/>
    </row>
    <row r="1486">
      <c r="A1486" s="34"/>
      <c r="C1486" s="9"/>
    </row>
    <row r="1487">
      <c r="A1487" s="34"/>
      <c r="C1487" s="9"/>
    </row>
    <row r="1488">
      <c r="A1488" s="34"/>
      <c r="C1488" s="9"/>
    </row>
    <row r="1489">
      <c r="A1489" s="34"/>
      <c r="C1489" s="9"/>
    </row>
    <row r="1490">
      <c r="A1490" s="34"/>
      <c r="C1490" s="9"/>
    </row>
    <row r="1491">
      <c r="A1491" s="34"/>
      <c r="C1491" s="9"/>
    </row>
    <row r="1492">
      <c r="A1492" s="34"/>
      <c r="C1492" s="9"/>
    </row>
    <row r="1493">
      <c r="A1493" s="34"/>
      <c r="C1493" s="9"/>
    </row>
    <row r="1494">
      <c r="A1494" s="34"/>
      <c r="C1494" s="9"/>
    </row>
    <row r="1495">
      <c r="A1495" s="34"/>
      <c r="C1495" s="9"/>
    </row>
    <row r="1496">
      <c r="A1496" s="34"/>
      <c r="C1496" s="9"/>
    </row>
    <row r="1497">
      <c r="A1497" s="34"/>
      <c r="C1497" s="9"/>
    </row>
    <row r="1498">
      <c r="A1498" s="34"/>
      <c r="C1498" s="9"/>
    </row>
    <row r="1499">
      <c r="A1499" s="34"/>
      <c r="C1499" s="9"/>
    </row>
    <row r="1500">
      <c r="A1500" s="34"/>
      <c r="C1500" s="9"/>
    </row>
    <row r="1501">
      <c r="A1501" s="34"/>
      <c r="C1501" s="9"/>
    </row>
    <row r="1502">
      <c r="A1502" s="34"/>
      <c r="C1502" s="9"/>
    </row>
    <row r="1503">
      <c r="A1503" s="34"/>
      <c r="C1503" s="9"/>
    </row>
    <row r="1504">
      <c r="A1504" s="34"/>
      <c r="C1504" s="9"/>
    </row>
    <row r="1505">
      <c r="A1505" s="34"/>
      <c r="C1505" s="9"/>
    </row>
    <row r="1506">
      <c r="A1506" s="34"/>
      <c r="C1506" s="9"/>
    </row>
    <row r="1507">
      <c r="A1507" s="34"/>
      <c r="C1507" s="9"/>
    </row>
    <row r="1508">
      <c r="A1508" s="34"/>
      <c r="C1508" s="9"/>
    </row>
    <row r="1509">
      <c r="A1509" s="34"/>
      <c r="C1509" s="9"/>
    </row>
    <row r="1510">
      <c r="A1510" s="34"/>
      <c r="C1510" s="9"/>
    </row>
    <row r="1511">
      <c r="A1511" s="34"/>
      <c r="C1511" s="9"/>
    </row>
    <row r="1512">
      <c r="A1512" s="34"/>
      <c r="C1512" s="9"/>
    </row>
    <row r="1513">
      <c r="A1513" s="34"/>
      <c r="C1513" s="9"/>
    </row>
    <row r="1514">
      <c r="A1514" s="34"/>
      <c r="C1514" s="9"/>
    </row>
    <row r="1515">
      <c r="A1515" s="34"/>
      <c r="C1515" s="9"/>
    </row>
    <row r="1516">
      <c r="A1516" s="34"/>
      <c r="C1516" s="9"/>
    </row>
    <row r="1517">
      <c r="A1517" s="34"/>
      <c r="C1517" s="9"/>
    </row>
    <row r="1518">
      <c r="A1518" s="34"/>
      <c r="C1518" s="9"/>
    </row>
    <row r="1519">
      <c r="A1519" s="34"/>
      <c r="C1519" s="9"/>
    </row>
    <row r="1520">
      <c r="A1520" s="34"/>
      <c r="C1520" s="9"/>
    </row>
    <row r="1521">
      <c r="A1521" s="34"/>
      <c r="C1521" s="9"/>
    </row>
    <row r="1522">
      <c r="A1522" s="34"/>
      <c r="C1522" s="9"/>
    </row>
    <row r="1523">
      <c r="A1523" s="34"/>
      <c r="C1523" s="9"/>
    </row>
    <row r="1524">
      <c r="A1524" s="34"/>
      <c r="C1524" s="9"/>
    </row>
    <row r="1525">
      <c r="A1525" s="34"/>
      <c r="C1525" s="9"/>
    </row>
    <row r="1526">
      <c r="A1526" s="34"/>
      <c r="C1526" s="9"/>
    </row>
    <row r="1527">
      <c r="A1527" s="34"/>
      <c r="C1527" s="9"/>
    </row>
    <row r="1528">
      <c r="A1528" s="34"/>
      <c r="C1528" s="9"/>
    </row>
    <row r="1529">
      <c r="A1529" s="34"/>
      <c r="C1529" s="9"/>
    </row>
    <row r="1530">
      <c r="A1530" s="34"/>
      <c r="C1530" s="9"/>
    </row>
    <row r="1531">
      <c r="A1531" s="34"/>
      <c r="C1531" s="9"/>
    </row>
    <row r="1532">
      <c r="A1532" s="34"/>
      <c r="C1532" s="9"/>
    </row>
    <row r="1533">
      <c r="A1533" s="34"/>
      <c r="C1533" s="9"/>
    </row>
    <row r="1534">
      <c r="A1534" s="34"/>
      <c r="C1534" s="9"/>
    </row>
    <row r="1535">
      <c r="A1535" s="34"/>
      <c r="C1535" s="9"/>
    </row>
    <row r="1536">
      <c r="A1536" s="34"/>
      <c r="C1536" s="9"/>
    </row>
    <row r="1537">
      <c r="A1537" s="34"/>
      <c r="C1537" s="9"/>
    </row>
    <row r="1538">
      <c r="A1538" s="34"/>
      <c r="C1538" s="9"/>
    </row>
    <row r="1539">
      <c r="A1539" s="34"/>
      <c r="C1539" s="9"/>
    </row>
    <row r="1540">
      <c r="A1540" s="34"/>
      <c r="C1540" s="9"/>
    </row>
    <row r="1541">
      <c r="A1541" s="34"/>
      <c r="C1541" s="9"/>
    </row>
    <row r="1542">
      <c r="A1542" s="34"/>
      <c r="C1542" s="9"/>
    </row>
    <row r="1543">
      <c r="A1543" s="34"/>
      <c r="C1543" s="9"/>
    </row>
    <row r="1544">
      <c r="A1544" s="34"/>
      <c r="C1544" s="9"/>
    </row>
    <row r="1545">
      <c r="A1545" s="34"/>
      <c r="C1545" s="9"/>
    </row>
    <row r="1546">
      <c r="A1546" s="34"/>
      <c r="C1546" s="9"/>
    </row>
    <row r="1547">
      <c r="A1547" s="34"/>
      <c r="C1547" s="9"/>
    </row>
    <row r="1548">
      <c r="A1548" s="34"/>
      <c r="C1548" s="9"/>
    </row>
    <row r="1549">
      <c r="A1549" s="34"/>
      <c r="C1549" s="9"/>
    </row>
    <row r="1550">
      <c r="A1550" s="34"/>
      <c r="C1550" s="9"/>
    </row>
    <row r="1551">
      <c r="A1551" s="34"/>
      <c r="C1551" s="9"/>
    </row>
    <row r="1552">
      <c r="A1552" s="34"/>
      <c r="C1552" s="9"/>
    </row>
    <row r="1553">
      <c r="A1553" s="34"/>
      <c r="C1553" s="9"/>
    </row>
    <row r="1554">
      <c r="A1554" s="34"/>
      <c r="C1554" s="9"/>
    </row>
    <row r="1555">
      <c r="A1555" s="34"/>
      <c r="C1555" s="9"/>
    </row>
    <row r="1556">
      <c r="A1556" s="34"/>
      <c r="C1556" s="9"/>
    </row>
    <row r="1557">
      <c r="A1557" s="34"/>
      <c r="C1557" s="9"/>
    </row>
    <row r="1558">
      <c r="A1558" s="34"/>
      <c r="C1558" s="9"/>
    </row>
    <row r="1559">
      <c r="A1559" s="34"/>
      <c r="C1559" s="9"/>
    </row>
    <row r="1560">
      <c r="A1560" s="34"/>
      <c r="C1560" s="9"/>
    </row>
    <row r="1561">
      <c r="A1561" s="34"/>
      <c r="C1561" s="9"/>
    </row>
    <row r="1562">
      <c r="A1562" s="34"/>
      <c r="C1562" s="9"/>
    </row>
    <row r="1563">
      <c r="A1563" s="34"/>
      <c r="C1563" s="9"/>
    </row>
    <row r="1564">
      <c r="A1564" s="34"/>
      <c r="C1564" s="9"/>
    </row>
    <row r="1565">
      <c r="A1565" s="34"/>
      <c r="C1565" s="9"/>
    </row>
    <row r="1566">
      <c r="A1566" s="34"/>
      <c r="C1566" s="9"/>
    </row>
    <row r="1567">
      <c r="A1567" s="34"/>
      <c r="C1567" s="9"/>
    </row>
    <row r="1568">
      <c r="A1568" s="34"/>
      <c r="C1568" s="9"/>
    </row>
    <row r="1569">
      <c r="A1569" s="34"/>
      <c r="C1569" s="9"/>
    </row>
    <row r="1570">
      <c r="A1570" s="34"/>
      <c r="C1570" s="9"/>
    </row>
    <row r="1571">
      <c r="A1571" s="34"/>
      <c r="C1571" s="9"/>
    </row>
    <row r="1572">
      <c r="A1572" s="34"/>
      <c r="C1572" s="9"/>
    </row>
    <row r="1573">
      <c r="A1573" s="34"/>
      <c r="C1573" s="9"/>
    </row>
    <row r="1574">
      <c r="A1574" s="34"/>
      <c r="C1574" s="9"/>
    </row>
    <row r="1575">
      <c r="A1575" s="34"/>
      <c r="C1575" s="9"/>
    </row>
    <row r="1576">
      <c r="A1576" s="34"/>
      <c r="C1576" s="9"/>
    </row>
    <row r="1577">
      <c r="A1577" s="34"/>
      <c r="C1577" s="9"/>
    </row>
    <row r="1578">
      <c r="A1578" s="34"/>
      <c r="C1578" s="9"/>
    </row>
    <row r="1579">
      <c r="A1579" s="34"/>
      <c r="C1579" s="9"/>
    </row>
    <row r="1580">
      <c r="A1580" s="34"/>
      <c r="C1580" s="9"/>
    </row>
    <row r="1581">
      <c r="A1581" s="34"/>
      <c r="C1581" s="9"/>
    </row>
    <row r="1582">
      <c r="A1582" s="34"/>
      <c r="C1582" s="9"/>
    </row>
    <row r="1583">
      <c r="A1583" s="34"/>
      <c r="C1583" s="9"/>
    </row>
    <row r="1584">
      <c r="A1584" s="34"/>
      <c r="C1584" s="9"/>
    </row>
    <row r="1585">
      <c r="A1585" s="34"/>
      <c r="C1585" s="9"/>
    </row>
    <row r="1586">
      <c r="A1586" s="34"/>
      <c r="C1586" s="9"/>
    </row>
    <row r="1587">
      <c r="A1587" s="34"/>
      <c r="C1587" s="9"/>
    </row>
    <row r="1588">
      <c r="A1588" s="34"/>
      <c r="C1588" s="9"/>
    </row>
    <row r="1589">
      <c r="A1589" s="34"/>
      <c r="C1589" s="9"/>
    </row>
    <row r="1590">
      <c r="A1590" s="34"/>
      <c r="C1590" s="9"/>
    </row>
    <row r="1591">
      <c r="A1591" s="34"/>
      <c r="C1591" s="9"/>
    </row>
    <row r="1592">
      <c r="A1592" s="34"/>
      <c r="C1592" s="9"/>
    </row>
    <row r="1593">
      <c r="A1593" s="34"/>
      <c r="C1593" s="9"/>
    </row>
    <row r="1594">
      <c r="A1594" s="34"/>
      <c r="C1594" s="9"/>
    </row>
    <row r="1595">
      <c r="A1595" s="34"/>
      <c r="C1595" s="9"/>
    </row>
    <row r="1596">
      <c r="A1596" s="34"/>
      <c r="C1596" s="9"/>
    </row>
    <row r="1597">
      <c r="A1597" s="34"/>
      <c r="C1597" s="9"/>
    </row>
    <row r="1598">
      <c r="A1598" s="34"/>
      <c r="C1598" s="9"/>
    </row>
    <row r="1599">
      <c r="A1599" s="34"/>
      <c r="C1599" s="9"/>
    </row>
    <row r="1600">
      <c r="A1600" s="34"/>
      <c r="C1600" s="9"/>
    </row>
    <row r="1601">
      <c r="A1601" s="34"/>
      <c r="C1601" s="9"/>
    </row>
    <row r="1602">
      <c r="A1602" s="34"/>
      <c r="C1602" s="9"/>
    </row>
    <row r="1603">
      <c r="A1603" s="34"/>
      <c r="C1603" s="9"/>
    </row>
    <row r="1604">
      <c r="A1604" s="34"/>
      <c r="C1604" s="9"/>
    </row>
    <row r="1605">
      <c r="A1605" s="34"/>
      <c r="C1605" s="9"/>
    </row>
    <row r="1606">
      <c r="A1606" s="34"/>
      <c r="C1606" s="9"/>
    </row>
    <row r="1607">
      <c r="A1607" s="34"/>
      <c r="C1607" s="9"/>
    </row>
    <row r="1608">
      <c r="A1608" s="34"/>
      <c r="C1608" s="9"/>
    </row>
    <row r="1609">
      <c r="A1609" s="34"/>
      <c r="C1609" s="9"/>
    </row>
    <row r="1610">
      <c r="A1610" s="34"/>
      <c r="C1610" s="9"/>
    </row>
    <row r="1611">
      <c r="A1611" s="34"/>
      <c r="C1611" s="9"/>
    </row>
    <row r="1612">
      <c r="A1612" s="34"/>
      <c r="C1612" s="9"/>
    </row>
    <row r="1613">
      <c r="A1613" s="34"/>
      <c r="C1613" s="9"/>
    </row>
    <row r="1614">
      <c r="A1614" s="34"/>
      <c r="C1614" s="9"/>
    </row>
    <row r="1615">
      <c r="A1615" s="34"/>
      <c r="C1615" s="9"/>
    </row>
    <row r="1616">
      <c r="A1616" s="34"/>
      <c r="C1616" s="9"/>
    </row>
    <row r="1617">
      <c r="A1617" s="34"/>
      <c r="C1617" s="9"/>
    </row>
    <row r="1618">
      <c r="A1618" s="34"/>
      <c r="C1618" s="9"/>
    </row>
    <row r="1619">
      <c r="A1619" s="34"/>
      <c r="C1619" s="9"/>
    </row>
    <row r="1620">
      <c r="A1620" s="34"/>
      <c r="C1620" s="9"/>
    </row>
    <row r="1621">
      <c r="A1621" s="34"/>
      <c r="C1621" s="9"/>
    </row>
    <row r="1622">
      <c r="A1622" s="34"/>
      <c r="C1622" s="9"/>
    </row>
    <row r="1623">
      <c r="A1623" s="34"/>
      <c r="C1623" s="9"/>
    </row>
    <row r="1624">
      <c r="A1624" s="34"/>
      <c r="C1624" s="9"/>
    </row>
    <row r="1625">
      <c r="A1625" s="34"/>
      <c r="C1625" s="9"/>
    </row>
    <row r="1626">
      <c r="A1626" s="34"/>
      <c r="C1626" s="9"/>
    </row>
    <row r="1627">
      <c r="A1627" s="34"/>
      <c r="C1627" s="9"/>
    </row>
    <row r="1628">
      <c r="A1628" s="34"/>
      <c r="C1628" s="9"/>
    </row>
    <row r="1629">
      <c r="A1629" s="34"/>
      <c r="C1629" s="9"/>
    </row>
    <row r="1630">
      <c r="A1630" s="34"/>
      <c r="C1630" s="9"/>
    </row>
    <row r="1631">
      <c r="A1631" s="34"/>
      <c r="C1631" s="9"/>
    </row>
    <row r="1632">
      <c r="A1632" s="34"/>
      <c r="C1632" s="9"/>
    </row>
    <row r="1633">
      <c r="A1633" s="34"/>
      <c r="C1633" s="9"/>
    </row>
    <row r="1634">
      <c r="A1634" s="34"/>
      <c r="C1634" s="9"/>
    </row>
    <row r="1635">
      <c r="A1635" s="34"/>
      <c r="C1635" s="9"/>
    </row>
    <row r="1636">
      <c r="A1636" s="34"/>
      <c r="C1636" s="9"/>
    </row>
    <row r="1637">
      <c r="A1637" s="34"/>
      <c r="C1637" s="9"/>
    </row>
    <row r="1638">
      <c r="A1638" s="34"/>
      <c r="C1638" s="9"/>
    </row>
    <row r="1639">
      <c r="A1639" s="34"/>
      <c r="C1639" s="9"/>
    </row>
    <row r="1640">
      <c r="A1640" s="34"/>
      <c r="C1640" s="9"/>
    </row>
    <row r="1641">
      <c r="A1641" s="34"/>
      <c r="C1641" s="9"/>
    </row>
    <row r="1642">
      <c r="A1642" s="34"/>
      <c r="C1642" s="9"/>
    </row>
    <row r="1643">
      <c r="A1643" s="34"/>
      <c r="C1643" s="9"/>
    </row>
    <row r="1644">
      <c r="A1644" s="34"/>
      <c r="C1644" s="9"/>
    </row>
    <row r="1645">
      <c r="A1645" s="34"/>
      <c r="C1645" s="9"/>
    </row>
    <row r="1646">
      <c r="A1646" s="34"/>
      <c r="C1646" s="9"/>
    </row>
    <row r="1647">
      <c r="A1647" s="34"/>
      <c r="C1647" s="9"/>
    </row>
    <row r="1648">
      <c r="A1648" s="34"/>
      <c r="C1648" s="9"/>
    </row>
    <row r="1649">
      <c r="A1649" s="34"/>
      <c r="C1649" s="9"/>
    </row>
    <row r="1650">
      <c r="A1650" s="34"/>
      <c r="C1650" s="9"/>
    </row>
    <row r="1651">
      <c r="A1651" s="34"/>
      <c r="C1651" s="9"/>
    </row>
    <row r="1652">
      <c r="A1652" s="34"/>
      <c r="C1652" s="9"/>
    </row>
    <row r="1653">
      <c r="A1653" s="34"/>
      <c r="C1653" s="9"/>
    </row>
    <row r="1654">
      <c r="A1654" s="34"/>
      <c r="C1654" s="9"/>
    </row>
    <row r="1655">
      <c r="A1655" s="34"/>
      <c r="C1655" s="9"/>
    </row>
    <row r="1656">
      <c r="A1656" s="34"/>
      <c r="C1656" s="9"/>
    </row>
    <row r="1657">
      <c r="A1657" s="34"/>
      <c r="C1657" s="9"/>
    </row>
    <row r="1658">
      <c r="A1658" s="34"/>
      <c r="C1658" s="9"/>
    </row>
    <row r="1659">
      <c r="A1659" s="34"/>
      <c r="C1659" s="9"/>
    </row>
    <row r="1660">
      <c r="A1660" s="34"/>
      <c r="C1660" s="9"/>
    </row>
    <row r="1661">
      <c r="A1661" s="34"/>
      <c r="C1661" s="9"/>
    </row>
    <row r="1662">
      <c r="A1662" s="34"/>
      <c r="C1662" s="9"/>
    </row>
    <row r="1663">
      <c r="A1663" s="34"/>
      <c r="C1663" s="9"/>
    </row>
    <row r="1664">
      <c r="A1664" s="34"/>
      <c r="C1664" s="9"/>
    </row>
    <row r="1665">
      <c r="A1665" s="34"/>
      <c r="C1665" s="9"/>
    </row>
    <row r="1666">
      <c r="A1666" s="34"/>
      <c r="C1666" s="9"/>
    </row>
    <row r="1667">
      <c r="A1667" s="34"/>
      <c r="C1667" s="9"/>
    </row>
    <row r="1668">
      <c r="A1668" s="34"/>
      <c r="C1668" s="9"/>
    </row>
    <row r="1669">
      <c r="A1669" s="34"/>
      <c r="C1669" s="9"/>
    </row>
    <row r="1670">
      <c r="A1670" s="34"/>
      <c r="C1670" s="9"/>
    </row>
    <row r="1671">
      <c r="A1671" s="34"/>
      <c r="C1671" s="9"/>
    </row>
    <row r="1672">
      <c r="A1672" s="34"/>
      <c r="C1672" s="9"/>
    </row>
    <row r="1673">
      <c r="A1673" s="34"/>
      <c r="C1673" s="9"/>
    </row>
    <row r="1674">
      <c r="A1674" s="34"/>
      <c r="C1674" s="9"/>
    </row>
    <row r="1675">
      <c r="A1675" s="34"/>
      <c r="C1675" s="9"/>
    </row>
    <row r="1676">
      <c r="A1676" s="34"/>
      <c r="C1676" s="9"/>
    </row>
    <row r="1677">
      <c r="A1677" s="34"/>
      <c r="C1677" s="9"/>
    </row>
    <row r="1678">
      <c r="A1678" s="34"/>
      <c r="C1678" s="9"/>
    </row>
    <row r="1679">
      <c r="A1679" s="34"/>
      <c r="C1679" s="9"/>
    </row>
    <row r="1680">
      <c r="A1680" s="34"/>
      <c r="C1680" s="9"/>
    </row>
    <row r="1681">
      <c r="A1681" s="34"/>
      <c r="C1681" s="9"/>
    </row>
    <row r="1682">
      <c r="A1682" s="34"/>
      <c r="C1682" s="9"/>
    </row>
    <row r="1683">
      <c r="A1683" s="34"/>
      <c r="C1683" s="9"/>
    </row>
    <row r="1684">
      <c r="A1684" s="34"/>
      <c r="C1684" s="9"/>
    </row>
    <row r="1685">
      <c r="A1685" s="34"/>
      <c r="C1685" s="9"/>
    </row>
    <row r="1686">
      <c r="A1686" s="34"/>
      <c r="C1686" s="9"/>
    </row>
    <row r="1687">
      <c r="A1687" s="34"/>
      <c r="C1687" s="9"/>
    </row>
    <row r="1688">
      <c r="A1688" s="34"/>
      <c r="C1688" s="9"/>
    </row>
    <row r="1689">
      <c r="A1689" s="34"/>
      <c r="C1689" s="9"/>
    </row>
    <row r="1690">
      <c r="A1690" s="34"/>
      <c r="C1690" s="9"/>
    </row>
    <row r="1691">
      <c r="A1691" s="34"/>
      <c r="C1691" s="9"/>
    </row>
    <row r="1692">
      <c r="A1692" s="34"/>
      <c r="C1692" s="9"/>
    </row>
    <row r="1693">
      <c r="A1693" s="34"/>
      <c r="C1693" s="9"/>
    </row>
    <row r="1694">
      <c r="A1694" s="34"/>
      <c r="C1694" s="9"/>
    </row>
    <row r="1695">
      <c r="A1695" s="34"/>
      <c r="C1695" s="9"/>
    </row>
    <row r="1696">
      <c r="A1696" s="34"/>
      <c r="C1696" s="9"/>
    </row>
    <row r="1697">
      <c r="A1697" s="34"/>
      <c r="C1697" s="9"/>
    </row>
    <row r="1698">
      <c r="A1698" s="34"/>
      <c r="C1698" s="9"/>
    </row>
    <row r="1699">
      <c r="A1699" s="34"/>
      <c r="C1699" s="9"/>
    </row>
    <row r="1700">
      <c r="A1700" s="34"/>
      <c r="C1700" s="9"/>
    </row>
    <row r="1701">
      <c r="A1701" s="34"/>
      <c r="C1701" s="9"/>
    </row>
    <row r="1702">
      <c r="A1702" s="34"/>
      <c r="C1702" s="9"/>
    </row>
    <row r="1703">
      <c r="A1703" s="34"/>
      <c r="C1703" s="9"/>
    </row>
    <row r="1704">
      <c r="A1704" s="34"/>
      <c r="C1704" s="9"/>
    </row>
    <row r="1705">
      <c r="A1705" s="34"/>
      <c r="C1705" s="9"/>
    </row>
    <row r="1706">
      <c r="A1706" s="34"/>
      <c r="C1706" s="9"/>
    </row>
    <row r="1707">
      <c r="A1707" s="34"/>
      <c r="C1707" s="9"/>
    </row>
    <row r="1708">
      <c r="A1708" s="34"/>
      <c r="C1708" s="9"/>
    </row>
    <row r="1709">
      <c r="A1709" s="34"/>
      <c r="C1709" s="9"/>
    </row>
    <row r="1710">
      <c r="A1710" s="34"/>
      <c r="C1710" s="9"/>
    </row>
    <row r="1711">
      <c r="A1711" s="34"/>
      <c r="C1711" s="9"/>
    </row>
    <row r="1712">
      <c r="A1712" s="34"/>
      <c r="C1712" s="9"/>
    </row>
    <row r="1713">
      <c r="A1713" s="34"/>
      <c r="C1713" s="9"/>
    </row>
    <row r="1714">
      <c r="A1714" s="34"/>
      <c r="C1714" s="9"/>
    </row>
    <row r="1715">
      <c r="A1715" s="34"/>
      <c r="C1715" s="9"/>
    </row>
    <row r="1716">
      <c r="A1716" s="34"/>
      <c r="C1716" s="9"/>
    </row>
    <row r="1717">
      <c r="A1717" s="34"/>
      <c r="C1717" s="9"/>
    </row>
    <row r="1718">
      <c r="A1718" s="34"/>
      <c r="C1718" s="9"/>
    </row>
    <row r="1719">
      <c r="A1719" s="34"/>
      <c r="C1719" s="9"/>
    </row>
    <row r="1720">
      <c r="A1720" s="34"/>
      <c r="C1720" s="9"/>
    </row>
    <row r="1721">
      <c r="A1721" s="34"/>
      <c r="C1721" s="9"/>
    </row>
    <row r="1722">
      <c r="A1722" s="34"/>
      <c r="C1722" s="9"/>
    </row>
    <row r="1723">
      <c r="A1723" s="34"/>
      <c r="C1723" s="9"/>
    </row>
    <row r="1724">
      <c r="A1724" s="34"/>
      <c r="C1724" s="9"/>
    </row>
    <row r="1725">
      <c r="A1725" s="34"/>
      <c r="C1725" s="9"/>
    </row>
    <row r="1726">
      <c r="A1726" s="34"/>
      <c r="C1726" s="9"/>
    </row>
    <row r="1727">
      <c r="A1727" s="34"/>
      <c r="C1727" s="9"/>
    </row>
    <row r="1728">
      <c r="A1728" s="34"/>
      <c r="C1728" s="9"/>
    </row>
    <row r="1729">
      <c r="A1729" s="34"/>
      <c r="C1729" s="9"/>
    </row>
    <row r="1730">
      <c r="A1730" s="34"/>
      <c r="C1730" s="9"/>
    </row>
    <row r="1731">
      <c r="A1731" s="34"/>
      <c r="C1731" s="9"/>
    </row>
    <row r="1732">
      <c r="A1732" s="34"/>
      <c r="C1732" s="9"/>
    </row>
    <row r="1733">
      <c r="A1733" s="34"/>
      <c r="C1733" s="9"/>
    </row>
    <row r="1734">
      <c r="A1734" s="34"/>
      <c r="C1734" s="9"/>
    </row>
    <row r="1735">
      <c r="A1735" s="34"/>
      <c r="C1735" s="9"/>
    </row>
    <row r="1736">
      <c r="A1736" s="34"/>
      <c r="C1736" s="9"/>
    </row>
    <row r="1737">
      <c r="A1737" s="34"/>
      <c r="C1737" s="9"/>
    </row>
    <row r="1738">
      <c r="A1738" s="34"/>
      <c r="C1738" s="9"/>
    </row>
    <row r="1739">
      <c r="A1739" s="34"/>
      <c r="C1739" s="9"/>
    </row>
    <row r="1740">
      <c r="A1740" s="34"/>
      <c r="C1740" s="9"/>
    </row>
    <row r="1741">
      <c r="A1741" s="34"/>
      <c r="C1741" s="9"/>
    </row>
    <row r="1742">
      <c r="A1742" s="34"/>
      <c r="C1742" s="9"/>
    </row>
    <row r="1743">
      <c r="A1743" s="34"/>
      <c r="C1743" s="9"/>
    </row>
    <row r="1744">
      <c r="A1744" s="34"/>
      <c r="C1744" s="9"/>
    </row>
    <row r="1745">
      <c r="A1745" s="34"/>
      <c r="C1745" s="9"/>
    </row>
    <row r="1746">
      <c r="A1746" s="34"/>
      <c r="C1746" s="9"/>
    </row>
    <row r="1747">
      <c r="A1747" s="34"/>
      <c r="C1747" s="9"/>
    </row>
    <row r="1748">
      <c r="A1748" s="34"/>
      <c r="C1748" s="9"/>
    </row>
    <row r="1749">
      <c r="A1749" s="34"/>
      <c r="C1749" s="9"/>
    </row>
    <row r="1750">
      <c r="A1750" s="34"/>
      <c r="C1750" s="9"/>
    </row>
    <row r="1751">
      <c r="A1751" s="34"/>
      <c r="C1751" s="9"/>
    </row>
    <row r="1752">
      <c r="A1752" s="34"/>
      <c r="C1752" s="9"/>
    </row>
    <row r="1753">
      <c r="A1753" s="34"/>
      <c r="C1753" s="9"/>
    </row>
    <row r="1754">
      <c r="A1754" s="34"/>
      <c r="C1754" s="9"/>
    </row>
    <row r="1755">
      <c r="A1755" s="34"/>
      <c r="C1755" s="9"/>
    </row>
    <row r="1756">
      <c r="A1756" s="34"/>
      <c r="C1756" s="9"/>
    </row>
    <row r="1757">
      <c r="A1757" s="34"/>
      <c r="C1757" s="9"/>
    </row>
    <row r="1758">
      <c r="A1758" s="34"/>
      <c r="C1758" s="9"/>
    </row>
    <row r="1759">
      <c r="A1759" s="34"/>
      <c r="C1759" s="9"/>
    </row>
    <row r="1760">
      <c r="A1760" s="34"/>
      <c r="C1760" s="9"/>
    </row>
    <row r="1761">
      <c r="A1761" s="34"/>
      <c r="C1761" s="9"/>
    </row>
    <row r="1762">
      <c r="A1762" s="34"/>
      <c r="C1762" s="9"/>
    </row>
    <row r="1763">
      <c r="A1763" s="34"/>
      <c r="C1763" s="9"/>
    </row>
    <row r="1764">
      <c r="A1764" s="34"/>
      <c r="C1764" s="9"/>
    </row>
    <row r="1765">
      <c r="A1765" s="34"/>
      <c r="C1765" s="9"/>
    </row>
    <row r="1766">
      <c r="A1766" s="34"/>
      <c r="C1766" s="9"/>
    </row>
    <row r="1767">
      <c r="A1767" s="34"/>
      <c r="C1767" s="9"/>
    </row>
    <row r="1768">
      <c r="A1768" s="34"/>
      <c r="C1768" s="9"/>
    </row>
    <row r="1769">
      <c r="A1769" s="34"/>
      <c r="C1769" s="9"/>
    </row>
    <row r="1770">
      <c r="A1770" s="34"/>
      <c r="C1770" s="9"/>
    </row>
    <row r="1771">
      <c r="A1771" s="34"/>
      <c r="C1771" s="9"/>
    </row>
    <row r="1772">
      <c r="A1772" s="34"/>
      <c r="C1772" s="9"/>
    </row>
    <row r="1773">
      <c r="A1773" s="34"/>
      <c r="C1773" s="9"/>
    </row>
    <row r="1774">
      <c r="A1774" s="34"/>
      <c r="C1774" s="9"/>
    </row>
    <row r="1775">
      <c r="A1775" s="34"/>
      <c r="C1775" s="9"/>
    </row>
    <row r="1776">
      <c r="A1776" s="34"/>
      <c r="C1776" s="9"/>
    </row>
    <row r="1777">
      <c r="A1777" s="34"/>
      <c r="C1777" s="9"/>
    </row>
    <row r="1778">
      <c r="A1778" s="34"/>
      <c r="C1778" s="9"/>
    </row>
    <row r="1779">
      <c r="A1779" s="34"/>
      <c r="C1779" s="9"/>
    </row>
    <row r="1780">
      <c r="A1780" s="34"/>
      <c r="C1780" s="9"/>
    </row>
    <row r="1781">
      <c r="A1781" s="34"/>
      <c r="C1781" s="9"/>
    </row>
    <row r="1782">
      <c r="A1782" s="34"/>
      <c r="C1782" s="9"/>
    </row>
    <row r="1783">
      <c r="A1783" s="34"/>
      <c r="C1783" s="9"/>
    </row>
    <row r="1784">
      <c r="A1784" s="34"/>
      <c r="C1784" s="9"/>
    </row>
    <row r="1785">
      <c r="A1785" s="34"/>
      <c r="C1785" s="9"/>
    </row>
    <row r="1786">
      <c r="A1786" s="34"/>
      <c r="C1786" s="9"/>
    </row>
    <row r="1787">
      <c r="A1787" s="34"/>
      <c r="C1787" s="9"/>
    </row>
    <row r="1788">
      <c r="A1788" s="34"/>
      <c r="C1788" s="9"/>
    </row>
    <row r="1789">
      <c r="A1789" s="34"/>
      <c r="C1789" s="9"/>
    </row>
    <row r="1790">
      <c r="A1790" s="34"/>
      <c r="C1790" s="9"/>
    </row>
    <row r="1791">
      <c r="A1791" s="34"/>
      <c r="C1791" s="9"/>
    </row>
    <row r="1792">
      <c r="A1792" s="34"/>
      <c r="C1792" s="9"/>
    </row>
    <row r="1793">
      <c r="A1793" s="34"/>
      <c r="C1793" s="9"/>
    </row>
    <row r="1794">
      <c r="A1794" s="34"/>
      <c r="C1794" s="9"/>
    </row>
    <row r="1795">
      <c r="A1795" s="34"/>
      <c r="C1795" s="9"/>
    </row>
    <row r="1796">
      <c r="A1796" s="34"/>
      <c r="C1796" s="9"/>
    </row>
    <row r="1797">
      <c r="A1797" s="34"/>
      <c r="C1797" s="9"/>
    </row>
    <row r="1798">
      <c r="A1798" s="34"/>
      <c r="C1798" s="9"/>
    </row>
    <row r="1799">
      <c r="A1799" s="34"/>
      <c r="C1799" s="9"/>
    </row>
    <row r="1800">
      <c r="A1800" s="34"/>
      <c r="C1800" s="9"/>
    </row>
    <row r="1801">
      <c r="A1801" s="34"/>
      <c r="C1801" s="9"/>
    </row>
    <row r="1802">
      <c r="A1802" s="34"/>
      <c r="C1802" s="9"/>
    </row>
    <row r="1803">
      <c r="A1803" s="34"/>
      <c r="C1803" s="9"/>
    </row>
    <row r="1804">
      <c r="A1804" s="34"/>
      <c r="C1804" s="9"/>
    </row>
    <row r="1805">
      <c r="A1805" s="34"/>
      <c r="C1805" s="9"/>
    </row>
    <row r="1806">
      <c r="A1806" s="34"/>
      <c r="C1806" s="9"/>
    </row>
    <row r="1807">
      <c r="A1807" s="34"/>
      <c r="C1807" s="9"/>
    </row>
    <row r="1808">
      <c r="A1808" s="34"/>
      <c r="C1808" s="9"/>
    </row>
    <row r="1809">
      <c r="A1809" s="34"/>
      <c r="C1809" s="9"/>
    </row>
    <row r="1810">
      <c r="A1810" s="34"/>
      <c r="C1810" s="9"/>
    </row>
    <row r="1811">
      <c r="A1811" s="34"/>
      <c r="C1811" s="9"/>
    </row>
    <row r="1812">
      <c r="A1812" s="34"/>
      <c r="C1812" s="9"/>
    </row>
    <row r="1813">
      <c r="A1813" s="34"/>
      <c r="C1813" s="9"/>
    </row>
    <row r="1814">
      <c r="A1814" s="34"/>
      <c r="C1814" s="9"/>
    </row>
    <row r="1815">
      <c r="A1815" s="34"/>
      <c r="C1815" s="9"/>
    </row>
    <row r="1816">
      <c r="A1816" s="34"/>
      <c r="C1816" s="9"/>
    </row>
    <row r="1817">
      <c r="A1817" s="34"/>
      <c r="C1817" s="9"/>
    </row>
    <row r="1818">
      <c r="A1818" s="34"/>
      <c r="C1818" s="9"/>
    </row>
    <row r="1819">
      <c r="A1819" s="34"/>
      <c r="C1819" s="9"/>
    </row>
    <row r="1820">
      <c r="A1820" s="34"/>
      <c r="C1820" s="9"/>
    </row>
    <row r="1821">
      <c r="A1821" s="34"/>
      <c r="C1821" s="9"/>
    </row>
    <row r="1822">
      <c r="A1822" s="34"/>
      <c r="C1822" s="9"/>
    </row>
    <row r="1823">
      <c r="A1823" s="34"/>
      <c r="C1823" s="9"/>
    </row>
    <row r="1824">
      <c r="A1824" s="34"/>
      <c r="C1824" s="9"/>
    </row>
    <row r="1825">
      <c r="A1825" s="34"/>
      <c r="C1825" s="9"/>
    </row>
    <row r="1826">
      <c r="A1826" s="34"/>
      <c r="C1826" s="9"/>
    </row>
    <row r="1827">
      <c r="A1827" s="34"/>
      <c r="C1827" s="9"/>
    </row>
    <row r="1828">
      <c r="A1828" s="34"/>
      <c r="C1828" s="9"/>
    </row>
    <row r="1829">
      <c r="A1829" s="34"/>
      <c r="C1829" s="9"/>
    </row>
    <row r="1830">
      <c r="A1830" s="34"/>
      <c r="C1830" s="9"/>
    </row>
    <row r="1831">
      <c r="A1831" s="34"/>
      <c r="C1831" s="9"/>
    </row>
    <row r="1832">
      <c r="A1832" s="34"/>
      <c r="C1832" s="9"/>
    </row>
    <row r="1833">
      <c r="A1833" s="34"/>
      <c r="C1833" s="9"/>
    </row>
    <row r="1834">
      <c r="A1834" s="34"/>
      <c r="C1834" s="9"/>
    </row>
    <row r="1835">
      <c r="A1835" s="34"/>
      <c r="C1835" s="9"/>
    </row>
    <row r="1836">
      <c r="A1836" s="34"/>
      <c r="C1836" s="9"/>
    </row>
    <row r="1837">
      <c r="A1837" s="34"/>
      <c r="C1837" s="9"/>
    </row>
    <row r="1838">
      <c r="A1838" s="34"/>
      <c r="C1838" s="9"/>
    </row>
    <row r="1839">
      <c r="A1839" s="34"/>
      <c r="C1839" s="9"/>
    </row>
    <row r="1840">
      <c r="A1840" s="34"/>
      <c r="C1840" s="9"/>
    </row>
    <row r="1841">
      <c r="A1841" s="34"/>
      <c r="C1841" s="9"/>
    </row>
    <row r="1842">
      <c r="A1842" s="34"/>
      <c r="C1842" s="9"/>
    </row>
    <row r="1843">
      <c r="A1843" s="34"/>
      <c r="C1843" s="9"/>
    </row>
    <row r="1844">
      <c r="A1844" s="34"/>
      <c r="C1844" s="9"/>
    </row>
    <row r="1845">
      <c r="A1845" s="34"/>
      <c r="C1845" s="9"/>
    </row>
    <row r="1846">
      <c r="A1846" s="34"/>
      <c r="C1846" s="9"/>
    </row>
    <row r="1847">
      <c r="A1847" s="34"/>
      <c r="C1847" s="9"/>
    </row>
    <row r="1848">
      <c r="A1848" s="34"/>
      <c r="C1848" s="9"/>
    </row>
    <row r="1849">
      <c r="A1849" s="34"/>
      <c r="C1849" s="9"/>
    </row>
    <row r="1850">
      <c r="A1850" s="34"/>
      <c r="C1850" s="9"/>
    </row>
    <row r="1851">
      <c r="A1851" s="34"/>
      <c r="C1851" s="9"/>
    </row>
    <row r="1852">
      <c r="A1852" s="34"/>
      <c r="C1852" s="9"/>
    </row>
    <row r="1853">
      <c r="A1853" s="34"/>
      <c r="C1853" s="9"/>
    </row>
    <row r="1854">
      <c r="A1854" s="34"/>
      <c r="C1854" s="9"/>
    </row>
    <row r="1855">
      <c r="A1855" s="34"/>
      <c r="C1855" s="9"/>
    </row>
    <row r="1856">
      <c r="A1856" s="34"/>
      <c r="C1856" s="9"/>
    </row>
    <row r="1857">
      <c r="A1857" s="34"/>
      <c r="C1857" s="9"/>
    </row>
    <row r="1858">
      <c r="A1858" s="34"/>
      <c r="C1858" s="9"/>
    </row>
    <row r="1859">
      <c r="A1859" s="34"/>
      <c r="C1859" s="9"/>
    </row>
    <row r="1860">
      <c r="A1860" s="34"/>
      <c r="C1860" s="9"/>
    </row>
    <row r="1861">
      <c r="A1861" s="34"/>
      <c r="C1861" s="9"/>
    </row>
    <row r="1862">
      <c r="A1862" s="34"/>
      <c r="C1862" s="9"/>
    </row>
    <row r="1863">
      <c r="A1863" s="34"/>
      <c r="C1863" s="9"/>
    </row>
    <row r="1864">
      <c r="A1864" s="34"/>
      <c r="C1864" s="9"/>
    </row>
    <row r="1865">
      <c r="A1865" s="34"/>
      <c r="C1865" s="9"/>
    </row>
    <row r="1866">
      <c r="A1866" s="34"/>
      <c r="C1866" s="9"/>
    </row>
    <row r="1867">
      <c r="A1867" s="34"/>
      <c r="C1867" s="9"/>
    </row>
    <row r="1868">
      <c r="A1868" s="34"/>
      <c r="C1868" s="9"/>
    </row>
    <row r="1869">
      <c r="A1869" s="34"/>
      <c r="C1869" s="9"/>
    </row>
    <row r="1870">
      <c r="A1870" s="34"/>
      <c r="C1870" s="9"/>
    </row>
    <row r="1871">
      <c r="A1871" s="34"/>
      <c r="C1871" s="9"/>
    </row>
    <row r="1872">
      <c r="A1872" s="34"/>
      <c r="C1872" s="9"/>
    </row>
    <row r="1873">
      <c r="A1873" s="34"/>
      <c r="C1873" s="9"/>
    </row>
    <row r="1874">
      <c r="A1874" s="34"/>
      <c r="C1874" s="9"/>
    </row>
    <row r="1875">
      <c r="A1875" s="34"/>
      <c r="C1875" s="9"/>
    </row>
    <row r="1876">
      <c r="A1876" s="34"/>
      <c r="C1876" s="9"/>
    </row>
    <row r="1877">
      <c r="A1877" s="34"/>
      <c r="C1877" s="9"/>
    </row>
    <row r="1878">
      <c r="A1878" s="34"/>
      <c r="C1878" s="9"/>
    </row>
    <row r="1879">
      <c r="A1879" s="34"/>
      <c r="C1879" s="9"/>
    </row>
    <row r="1880">
      <c r="A1880" s="34"/>
      <c r="C1880" s="9"/>
    </row>
    <row r="1881">
      <c r="A1881" s="34"/>
      <c r="C1881" s="9"/>
    </row>
    <row r="1882">
      <c r="A1882" s="34"/>
      <c r="C1882" s="9"/>
    </row>
    <row r="1883">
      <c r="A1883" s="34"/>
      <c r="C1883" s="9"/>
    </row>
    <row r="1884">
      <c r="A1884" s="34"/>
      <c r="C1884" s="9"/>
    </row>
    <row r="1885">
      <c r="A1885" s="34"/>
      <c r="C1885" s="9"/>
    </row>
    <row r="1886">
      <c r="A1886" s="34"/>
      <c r="C1886" s="9"/>
    </row>
    <row r="1887">
      <c r="A1887" s="34"/>
      <c r="C1887" s="9"/>
    </row>
    <row r="1888">
      <c r="A1888" s="34"/>
      <c r="C1888" s="9"/>
    </row>
    <row r="1889">
      <c r="A1889" s="34"/>
      <c r="C1889" s="9"/>
    </row>
    <row r="1890">
      <c r="A1890" s="34"/>
      <c r="C1890" s="9"/>
    </row>
    <row r="1891">
      <c r="A1891" s="34"/>
      <c r="C1891" s="9"/>
    </row>
    <row r="1892">
      <c r="A1892" s="34"/>
      <c r="C1892" s="9"/>
    </row>
    <row r="1893">
      <c r="A1893" s="34"/>
      <c r="C1893" s="9"/>
    </row>
    <row r="1894">
      <c r="A1894" s="34"/>
      <c r="C1894" s="9"/>
    </row>
    <row r="1895">
      <c r="A1895" s="34"/>
      <c r="C1895" s="9"/>
    </row>
    <row r="1896">
      <c r="A1896" s="34"/>
      <c r="C1896" s="9"/>
    </row>
    <row r="1897">
      <c r="A1897" s="34"/>
      <c r="C1897" s="9"/>
    </row>
    <row r="1898">
      <c r="A1898" s="34"/>
      <c r="C1898" s="9"/>
    </row>
    <row r="1899">
      <c r="A1899" s="34"/>
      <c r="C1899" s="9"/>
    </row>
    <row r="1900">
      <c r="A1900" s="34"/>
      <c r="C1900" s="9"/>
    </row>
    <row r="1901">
      <c r="A1901" s="34"/>
      <c r="C1901" s="9"/>
    </row>
    <row r="1902">
      <c r="A1902" s="34"/>
      <c r="C1902" s="9"/>
    </row>
    <row r="1903">
      <c r="A1903" s="34"/>
      <c r="C1903" s="9"/>
    </row>
    <row r="1904">
      <c r="A1904" s="34"/>
      <c r="C1904" s="9"/>
    </row>
    <row r="1905">
      <c r="A1905" s="34"/>
      <c r="C1905" s="9"/>
    </row>
    <row r="1906">
      <c r="A1906" s="34"/>
      <c r="C1906" s="9"/>
    </row>
    <row r="1907">
      <c r="A1907" s="34"/>
      <c r="C1907" s="9"/>
    </row>
    <row r="1908">
      <c r="A1908" s="34"/>
      <c r="C1908" s="9"/>
    </row>
    <row r="1909">
      <c r="A1909" s="34"/>
      <c r="C1909" s="9"/>
    </row>
    <row r="1910">
      <c r="A1910" s="34"/>
      <c r="C1910" s="9"/>
    </row>
    <row r="1911">
      <c r="A1911" s="34"/>
      <c r="C1911" s="9"/>
    </row>
    <row r="1912">
      <c r="A1912" s="34"/>
      <c r="C1912" s="9"/>
    </row>
    <row r="1913">
      <c r="A1913" s="34"/>
      <c r="C1913" s="9"/>
    </row>
    <row r="1914">
      <c r="A1914" s="34"/>
      <c r="C1914" s="9"/>
    </row>
    <row r="1915">
      <c r="A1915" s="34"/>
      <c r="C1915" s="9"/>
    </row>
    <row r="1916">
      <c r="A1916" s="34"/>
      <c r="C1916" s="9"/>
    </row>
    <row r="1917">
      <c r="A1917" s="34"/>
      <c r="C1917" s="9"/>
    </row>
    <row r="1918">
      <c r="A1918" s="34"/>
      <c r="C1918" s="9"/>
    </row>
    <row r="1919">
      <c r="A1919" s="34"/>
      <c r="C1919" s="9"/>
    </row>
    <row r="1920">
      <c r="A1920" s="34"/>
      <c r="C1920" s="9"/>
    </row>
    <row r="1921">
      <c r="A1921" s="34"/>
      <c r="C1921" s="9"/>
    </row>
    <row r="1922">
      <c r="A1922" s="34"/>
      <c r="C1922" s="9"/>
    </row>
    <row r="1923">
      <c r="A1923" s="34"/>
      <c r="C1923" s="9"/>
    </row>
    <row r="1924">
      <c r="A1924" s="34"/>
      <c r="C1924" s="9"/>
    </row>
    <row r="1925">
      <c r="A1925" s="34"/>
      <c r="C1925" s="9"/>
    </row>
    <row r="1926">
      <c r="A1926" s="34"/>
      <c r="C1926" s="9"/>
    </row>
    <row r="1927">
      <c r="A1927" s="34"/>
      <c r="C1927" s="9"/>
    </row>
    <row r="1928">
      <c r="A1928" s="34"/>
      <c r="C1928" s="9"/>
    </row>
    <row r="1929">
      <c r="A1929" s="34"/>
      <c r="C1929" s="9"/>
    </row>
    <row r="1930">
      <c r="A1930" s="34"/>
      <c r="C1930" s="9"/>
    </row>
    <row r="1931">
      <c r="A1931" s="34"/>
      <c r="C1931" s="9"/>
    </row>
    <row r="1932">
      <c r="A1932" s="34"/>
      <c r="C1932" s="9"/>
    </row>
    <row r="1933">
      <c r="A1933" s="34"/>
      <c r="C1933" s="9"/>
    </row>
    <row r="1934">
      <c r="A1934" s="34"/>
      <c r="C1934" s="9"/>
    </row>
    <row r="1935">
      <c r="A1935" s="34"/>
      <c r="C1935" s="9"/>
    </row>
    <row r="1936">
      <c r="A1936" s="34"/>
      <c r="C1936" s="9"/>
    </row>
    <row r="1937">
      <c r="A1937" s="34"/>
      <c r="C1937" s="9"/>
    </row>
    <row r="1938">
      <c r="A1938" s="34"/>
      <c r="C1938" s="9"/>
    </row>
    <row r="1939">
      <c r="A1939" s="34"/>
      <c r="C1939" s="9"/>
    </row>
    <row r="1940">
      <c r="A1940" s="34"/>
      <c r="C1940" s="9"/>
    </row>
    <row r="1941">
      <c r="A1941" s="34"/>
      <c r="C1941" s="9"/>
    </row>
    <row r="1942">
      <c r="A1942" s="34"/>
      <c r="C1942" s="9"/>
    </row>
    <row r="1943">
      <c r="A1943" s="34"/>
      <c r="C1943" s="9"/>
    </row>
    <row r="1944">
      <c r="A1944" s="34"/>
      <c r="C1944" s="9"/>
    </row>
    <row r="1945">
      <c r="A1945" s="34"/>
      <c r="C1945" s="9"/>
    </row>
    <row r="1946">
      <c r="A1946" s="34"/>
      <c r="C1946" s="9"/>
    </row>
    <row r="1947">
      <c r="A1947" s="34"/>
      <c r="C1947" s="9"/>
    </row>
  </sheetData>
  <autoFilter ref="$A$1:$A$1001">
    <filterColumn colId="0">
      <filters>
        <filter val="21/04/2025"/>
        <filter val="07/07/2025"/>
        <filter val="18/08/2025"/>
        <filter val="10/03/2025"/>
        <filter val="19/05/2025"/>
        <filter val="20/10/2025"/>
        <filter val="08/12/2025"/>
        <filter val="26/01/2026"/>
        <filter val="29/12/2025"/>
        <filter val="28/07/2025"/>
        <filter val="10/02/2025"/>
        <filter val="25/08/2025"/>
        <filter val="03/11/2025"/>
        <filter val="03/03/2025"/>
        <filter val="14/04/2025"/>
        <filter val="02/06/2025"/>
        <filter val="13/10/2025"/>
        <filter val="27/10/2025"/>
        <filter val="31/03/2025"/>
        <filter val="24/11/2025"/>
        <filter val="09/06/2025"/>
        <filter val="24/03/2025"/>
        <filter val="10/11/2025"/>
        <filter val="07/04/2025"/>
        <filter val="17/02/2025"/>
        <filter val="21/07/2025"/>
        <filter val="02/02/2026"/>
        <filter val="23/06/2025"/>
        <filter val="12/05/2025"/>
        <filter val="05/05/2025"/>
        <filter val="17/11/2025"/>
        <filter val="22/09/2025"/>
        <filter val="16/06/2025"/>
        <filter val="12/01/2026"/>
        <filter val="06/10/2025"/>
        <filter val="17/03/2025"/>
        <filter val="11/08/2025"/>
        <filter val="28/04/2025"/>
        <filter val="24/02/2025"/>
        <filter val="14/07/2025"/>
        <filter val="15/12/2025"/>
        <filter val="01/12/2025"/>
        <filter val="26/05/2025"/>
        <filter val="01/09/2025"/>
        <filter val="09/02/2026"/>
        <filter val="19/01/2026"/>
        <filter val="15/09/2025"/>
        <filter val="08/09/2025"/>
        <filter val="30/06/2025"/>
        <filter val="29/09/2025"/>
        <filter val="04/08/2025"/>
        <filter val="05/01/2026"/>
        <filter val="22/12/2025"/>
      </filters>
    </filterColumn>
  </autoFilter>
  <mergeCells count="8">
    <mergeCell ref="E1:F1"/>
    <mergeCell ref="G1:H1"/>
    <mergeCell ref="I1:J1"/>
    <mergeCell ref="L1:M1"/>
    <mergeCell ref="I3:J3"/>
    <mergeCell ref="L3:N3"/>
    <mergeCell ref="E1002:F1002"/>
    <mergeCell ref="E1004:G1004"/>
  </mergeCells>
  <hyperlinks>
    <hyperlink r:id="rId1" ref="B1"/>
    <hyperlink r:id="rId2" ref="C1"/>
    <hyperlink r:id="rId3" ref="E2"/>
    <hyperlink r:id="rId4" ref="F2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25"/>
    <col customWidth="1" min="9" max="9" width="25.63"/>
    <col customWidth="1" min="10" max="10" width="33.25"/>
  </cols>
  <sheetData>
    <row r="1">
      <c r="A1" s="36" t="s">
        <v>0</v>
      </c>
      <c r="B1" s="19" t="s">
        <v>12</v>
      </c>
      <c r="C1" s="20" t="s">
        <v>61</v>
      </c>
      <c r="F1" s="19" t="s">
        <v>12</v>
      </c>
      <c r="G1" s="20" t="s">
        <v>61</v>
      </c>
      <c r="I1" s="37"/>
      <c r="J1" s="37"/>
      <c r="K1" s="37"/>
    </row>
    <row r="2">
      <c r="A2" s="22" t="s">
        <v>7</v>
      </c>
      <c r="B2" s="35">
        <v>0.0498</v>
      </c>
      <c r="C2" s="35">
        <v>0.0</v>
      </c>
      <c r="E2" s="38" t="s">
        <v>67</v>
      </c>
      <c r="F2" s="35">
        <v>0.128</v>
      </c>
      <c r="G2" s="35">
        <v>0.0949</v>
      </c>
      <c r="I2" s="32"/>
      <c r="J2" s="32"/>
    </row>
    <row r="3">
      <c r="A3" s="27" t="s">
        <v>8</v>
      </c>
      <c r="B3" s="35">
        <v>-0.0118</v>
      </c>
      <c r="C3" s="35">
        <v>-0.1211</v>
      </c>
      <c r="E3" s="38" t="s">
        <v>68</v>
      </c>
      <c r="F3" s="35">
        <v>-0.0893</v>
      </c>
      <c r="G3" s="35">
        <v>-0.1211</v>
      </c>
      <c r="I3" s="32"/>
      <c r="J3" s="32"/>
    </row>
    <row r="4">
      <c r="A4" s="22" t="s">
        <v>9</v>
      </c>
      <c r="B4" s="35">
        <v>0.0552</v>
      </c>
      <c r="C4" s="35">
        <v>6.0E-4</v>
      </c>
      <c r="E4" s="39" t="s">
        <v>69</v>
      </c>
      <c r="F4" s="25">
        <f t="shared" ref="F4:G4" si="1">F2-F3</f>
        <v>0.2173</v>
      </c>
      <c r="G4" s="25">
        <f t="shared" si="1"/>
        <v>0.216</v>
      </c>
      <c r="I4" s="32"/>
      <c r="J4" s="32"/>
    </row>
    <row r="5">
      <c r="A5" s="27" t="s">
        <v>10</v>
      </c>
      <c r="B5" s="35">
        <v>0.0215</v>
      </c>
      <c r="C5" s="35">
        <v>2.0E-4</v>
      </c>
      <c r="E5" s="40"/>
      <c r="I5" s="41"/>
      <c r="J5" s="41"/>
    </row>
    <row r="6">
      <c r="A6" s="22" t="s">
        <v>11</v>
      </c>
      <c r="B6" s="35">
        <v>0.0712</v>
      </c>
      <c r="C6" s="35">
        <v>-0.0334</v>
      </c>
      <c r="E6" s="38" t="s">
        <v>70</v>
      </c>
      <c r="F6" s="25">
        <f>_xlfn.PERCENTILE.INC(B:B,0.75)</f>
        <v>0.055525</v>
      </c>
      <c r="G6" s="25">
        <f>(_xlfn.PERCENTILE.INC(C:C,0.75))</f>
        <v>0.020675</v>
      </c>
    </row>
    <row r="7">
      <c r="A7" s="27" t="s">
        <v>13</v>
      </c>
      <c r="B7" s="35">
        <v>0.087</v>
      </c>
      <c r="C7" s="35">
        <v>0.0922</v>
      </c>
      <c r="E7" s="38" t="s">
        <v>71</v>
      </c>
      <c r="F7" s="25">
        <f t="shared" ref="F7:G7" si="2">(_xlfn.PERCENTILE.INC(B:B,0.25))</f>
        <v>-0.012225</v>
      </c>
      <c r="G7" s="25">
        <f t="shared" si="2"/>
        <v>-0.018475</v>
      </c>
    </row>
    <row r="8">
      <c r="A8" s="27" t="s">
        <v>14</v>
      </c>
      <c r="B8" s="35">
        <v>0.0983</v>
      </c>
      <c r="C8" s="35">
        <v>-0.0259</v>
      </c>
      <c r="E8" s="38" t="s">
        <v>72</v>
      </c>
      <c r="F8" s="25">
        <f t="shared" ref="F8:G8" si="3">F6-F7</f>
        <v>0.06775</v>
      </c>
      <c r="G8" s="25">
        <f t="shared" si="3"/>
        <v>0.03915</v>
      </c>
    </row>
    <row r="9">
      <c r="A9" s="22" t="s">
        <v>15</v>
      </c>
      <c r="B9" s="35">
        <v>0.1007</v>
      </c>
      <c r="C9" s="35">
        <v>0.0227</v>
      </c>
    </row>
    <row r="10">
      <c r="A10" s="27" t="s">
        <v>16</v>
      </c>
      <c r="B10" s="35">
        <v>-0.0239</v>
      </c>
      <c r="C10" s="35">
        <v>0.0051</v>
      </c>
      <c r="E10" s="42" t="s">
        <v>73</v>
      </c>
      <c r="F10" s="25">
        <f t="shared" ref="F10:G10" si="4">AVERAGE(B:B)</f>
        <v>0.02264038462</v>
      </c>
      <c r="G10" s="25">
        <f t="shared" si="4"/>
        <v>-0.0005557692308</v>
      </c>
    </row>
    <row r="11">
      <c r="A11" s="22" t="s">
        <v>17</v>
      </c>
      <c r="B11" s="35">
        <v>0.0046</v>
      </c>
      <c r="C11" s="35">
        <v>-0.0146</v>
      </c>
      <c r="E11" s="42" t="s">
        <v>74</v>
      </c>
      <c r="F11" s="25">
        <f t="shared" ref="F11:G11" si="5">AVEDEV(B:B)*53/52</f>
        <v>0.03932783341</v>
      </c>
      <c r="G11" s="25">
        <f t="shared" si="5"/>
        <v>0.03388572912</v>
      </c>
    </row>
    <row r="12">
      <c r="A12" s="27" t="s">
        <v>18</v>
      </c>
      <c r="B12" s="35">
        <v>0.0786</v>
      </c>
      <c r="C12" s="35">
        <v>-0.0158</v>
      </c>
      <c r="E12" s="42" t="s">
        <v>75</v>
      </c>
      <c r="F12" s="25">
        <f t="shared" ref="F12:G12" si="6">_xlfn.VAR.S(B:B)</f>
        <v>0.002178061278</v>
      </c>
      <c r="G12" s="25">
        <f t="shared" si="6"/>
        <v>0.00213868526</v>
      </c>
    </row>
    <row r="13">
      <c r="A13" s="22" t="s">
        <v>19</v>
      </c>
      <c r="B13" s="35">
        <v>0.0601</v>
      </c>
      <c r="C13" s="35">
        <v>0.0568</v>
      </c>
      <c r="E13" s="42" t="s">
        <v>76</v>
      </c>
      <c r="F13" s="25">
        <f t="shared" ref="F13:G13" si="7">_xlfn.STDEV.S(B:B)</f>
        <v>0.04666970407</v>
      </c>
      <c r="G13" s="25">
        <f t="shared" si="7"/>
        <v>0.04624592155</v>
      </c>
    </row>
    <row r="14">
      <c r="A14" s="27" t="s">
        <v>20</v>
      </c>
      <c r="B14" s="35">
        <v>-0.0247</v>
      </c>
      <c r="C14" s="35">
        <v>-0.0597</v>
      </c>
    </row>
    <row r="15">
      <c r="A15" s="22" t="s">
        <v>21</v>
      </c>
      <c r="B15" s="35">
        <v>-0.0072</v>
      </c>
      <c r="C15" s="35">
        <v>-0.0398</v>
      </c>
    </row>
    <row r="16">
      <c r="A16" s="27" t="s">
        <v>22</v>
      </c>
      <c r="B16" s="35">
        <v>-0.0893</v>
      </c>
      <c r="C16" s="35">
        <v>8.0E-4</v>
      </c>
    </row>
    <row r="17">
      <c r="A17" s="22" t="s">
        <v>23</v>
      </c>
      <c r="B17" s="35">
        <v>0.0881</v>
      </c>
      <c r="C17" s="35">
        <v>0.0892</v>
      </c>
    </row>
    <row r="18">
      <c r="A18" s="27" t="s">
        <v>24</v>
      </c>
      <c r="B18" s="35">
        <v>0.0092</v>
      </c>
      <c r="C18" s="35">
        <v>0.0524</v>
      </c>
    </row>
    <row r="19">
      <c r="A19" s="22" t="s">
        <v>25</v>
      </c>
      <c r="B19" s="35">
        <v>0.0371</v>
      </c>
      <c r="C19" s="35">
        <v>-0.0154</v>
      </c>
    </row>
    <row r="20">
      <c r="A20" s="27" t="s">
        <v>26</v>
      </c>
      <c r="B20" s="35">
        <v>0.0565</v>
      </c>
      <c r="C20" s="35">
        <v>-0.0143</v>
      </c>
    </row>
    <row r="21">
      <c r="A21" s="27" t="s">
        <v>27</v>
      </c>
      <c r="B21" s="35">
        <v>0.0774</v>
      </c>
      <c r="C21" s="35">
        <v>-0.0012</v>
      </c>
    </row>
    <row r="22">
      <c r="A22" s="22" t="s">
        <v>28</v>
      </c>
      <c r="B22" s="35">
        <v>0.0374</v>
      </c>
      <c r="C22" s="35">
        <v>-0.0505</v>
      </c>
    </row>
    <row r="23">
      <c r="A23" s="27" t="s">
        <v>29</v>
      </c>
      <c r="B23" s="35">
        <v>0.065</v>
      </c>
      <c r="C23" s="35">
        <v>0.0146</v>
      </c>
    </row>
    <row r="24">
      <c r="A24" s="22" t="s">
        <v>30</v>
      </c>
      <c r="B24" s="35">
        <v>0.0849</v>
      </c>
      <c r="C24" s="35">
        <v>-0.018</v>
      </c>
    </row>
    <row r="25">
      <c r="A25" s="27" t="s">
        <v>31</v>
      </c>
      <c r="B25" s="35">
        <v>-0.0029</v>
      </c>
      <c r="C25" s="35">
        <v>0.0145</v>
      </c>
    </row>
    <row r="26">
      <c r="A26" s="22" t="s">
        <v>32</v>
      </c>
      <c r="B26" s="35">
        <v>-0.0238</v>
      </c>
      <c r="C26" s="35">
        <v>7.0E-4</v>
      </c>
    </row>
    <row r="27">
      <c r="A27" s="27" t="s">
        <v>33</v>
      </c>
      <c r="B27" s="35">
        <v>-0.0028</v>
      </c>
      <c r="C27" s="35">
        <v>-0.0095</v>
      </c>
    </row>
    <row r="28">
      <c r="A28" s="22" t="s">
        <v>34</v>
      </c>
      <c r="B28" s="35">
        <v>-0.0028</v>
      </c>
      <c r="C28" s="35">
        <v>0.0375</v>
      </c>
    </row>
    <row r="29">
      <c r="A29" s="27" t="s">
        <v>35</v>
      </c>
      <c r="B29" s="35">
        <v>0.0421</v>
      </c>
      <c r="C29" s="35">
        <v>0.037</v>
      </c>
    </row>
    <row r="30">
      <c r="A30" s="22" t="s">
        <v>36</v>
      </c>
      <c r="B30" s="35">
        <v>0.0455</v>
      </c>
      <c r="C30" s="35">
        <v>-0.0721</v>
      </c>
    </row>
    <row r="31">
      <c r="A31" s="27" t="s">
        <v>37</v>
      </c>
      <c r="B31" s="35">
        <v>-0.0179</v>
      </c>
      <c r="C31" s="35">
        <v>0.0235</v>
      </c>
    </row>
    <row r="32">
      <c r="A32" s="22" t="s">
        <v>38</v>
      </c>
      <c r="B32" s="35">
        <v>0.0719</v>
      </c>
      <c r="C32" s="35">
        <v>0.0049</v>
      </c>
    </row>
    <row r="33">
      <c r="A33" s="27" t="s">
        <v>39</v>
      </c>
      <c r="B33" s="35">
        <v>-0.0111</v>
      </c>
      <c r="C33" s="35">
        <v>0.0072</v>
      </c>
    </row>
    <row r="34">
      <c r="A34" s="22" t="s">
        <v>40</v>
      </c>
      <c r="B34" s="35">
        <v>0.0475</v>
      </c>
      <c r="C34" s="35">
        <v>5.0E-4</v>
      </c>
    </row>
    <row r="35">
      <c r="A35" s="22" t="s">
        <v>41</v>
      </c>
      <c r="B35" s="35">
        <v>0.0218</v>
      </c>
      <c r="C35" s="35">
        <v>0.0649</v>
      </c>
    </row>
    <row r="36">
      <c r="A36" s="27" t="s">
        <v>42</v>
      </c>
      <c r="B36" s="35">
        <v>0.0206</v>
      </c>
      <c r="C36" s="35">
        <v>-0.0114</v>
      </c>
    </row>
    <row r="37">
      <c r="A37" s="22" t="s">
        <v>43</v>
      </c>
      <c r="B37" s="35">
        <v>-0.0135</v>
      </c>
      <c r="C37" s="35">
        <v>-0.0069</v>
      </c>
    </row>
    <row r="38">
      <c r="A38" s="27" t="s">
        <v>44</v>
      </c>
      <c r="B38" s="35">
        <v>0.0516</v>
      </c>
      <c r="C38" s="35">
        <v>0.0418</v>
      </c>
    </row>
    <row r="39">
      <c r="A39" s="22" t="s">
        <v>45</v>
      </c>
      <c r="B39" s="35">
        <v>0.0369</v>
      </c>
      <c r="C39" s="35">
        <v>0.02</v>
      </c>
    </row>
    <row r="40">
      <c r="A40" s="27" t="s">
        <v>46</v>
      </c>
      <c r="B40" s="35">
        <v>-0.0458</v>
      </c>
      <c r="C40" s="35">
        <v>-0.0224</v>
      </c>
    </row>
    <row r="41">
      <c r="A41" s="22" t="s">
        <v>47</v>
      </c>
      <c r="B41" s="35">
        <v>0.0365</v>
      </c>
      <c r="C41" s="35">
        <v>0.0649</v>
      </c>
    </row>
    <row r="42">
      <c r="A42" s="27" t="s">
        <v>48</v>
      </c>
      <c r="B42" s="35">
        <v>0.0092</v>
      </c>
      <c r="C42" s="35">
        <v>0.0162</v>
      </c>
    </row>
    <row r="43">
      <c r="A43" s="22" t="s">
        <v>49</v>
      </c>
      <c r="B43" s="35">
        <v>-0.0251</v>
      </c>
      <c r="C43" s="35">
        <v>0.0052</v>
      </c>
    </row>
    <row r="44">
      <c r="A44" s="27" t="s">
        <v>50</v>
      </c>
      <c r="B44" s="35">
        <v>0.0072</v>
      </c>
      <c r="C44" s="35">
        <v>0.0949</v>
      </c>
    </row>
    <row r="45">
      <c r="A45" s="22" t="s">
        <v>51</v>
      </c>
      <c r="B45" s="35">
        <v>0.0018</v>
      </c>
      <c r="C45" s="35">
        <v>-0.0663</v>
      </c>
    </row>
    <row r="46">
      <c r="A46" s="27" t="s">
        <v>52</v>
      </c>
      <c r="B46" s="35">
        <v>-0.016</v>
      </c>
      <c r="C46" s="35">
        <v>0.0811</v>
      </c>
    </row>
    <row r="47">
      <c r="A47" s="22" t="s">
        <v>53</v>
      </c>
      <c r="B47" s="35">
        <v>-0.0626</v>
      </c>
      <c r="C47" s="35">
        <v>-0.1127</v>
      </c>
    </row>
    <row r="48">
      <c r="A48" s="22" t="s">
        <v>54</v>
      </c>
      <c r="B48" s="35">
        <v>-0.0243</v>
      </c>
      <c r="C48" s="35">
        <v>-0.0178</v>
      </c>
    </row>
    <row r="49">
      <c r="A49" s="27" t="s">
        <v>55</v>
      </c>
      <c r="B49" s="35">
        <v>0.128</v>
      </c>
      <c r="C49" s="35">
        <v>-0.0088</v>
      </c>
    </row>
    <row r="50">
      <c r="A50" s="22" t="s">
        <v>56</v>
      </c>
      <c r="B50" s="35">
        <v>0.0186</v>
      </c>
      <c r="C50" s="35">
        <v>-0.0065</v>
      </c>
    </row>
    <row r="51">
      <c r="A51" s="27" t="s">
        <v>57</v>
      </c>
      <c r="B51" s="35">
        <v>-0.0147</v>
      </c>
      <c r="C51" s="35">
        <v>-0.0614</v>
      </c>
    </row>
    <row r="52">
      <c r="A52" s="22" t="s">
        <v>58</v>
      </c>
      <c r="B52" s="35">
        <v>-0.0636</v>
      </c>
      <c r="C52" s="35">
        <v>-0.0199</v>
      </c>
    </row>
    <row r="53">
      <c r="A53" s="27" t="s">
        <v>59</v>
      </c>
      <c r="B53" s="35">
        <v>0.0393</v>
      </c>
      <c r="C53" s="35">
        <v>-0.0529</v>
      </c>
    </row>
    <row r="54">
      <c r="A54" s="22" t="s">
        <v>60</v>
      </c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hyperlinks>
    <hyperlink r:id="rId1" ref="B1"/>
    <hyperlink r:id="rId2" ref="C1"/>
    <hyperlink r:id="rId3" ref="F1"/>
    <hyperlink r:id="rId4" ref="G1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2.38"/>
    <col customWidth="1" min="5" max="5" width="34.75"/>
    <col customWidth="1" min="6" max="6" width="30.75"/>
  </cols>
  <sheetData>
    <row r="1">
      <c r="A1" s="43" t="s">
        <v>77</v>
      </c>
      <c r="B1" s="43" t="s">
        <v>78</v>
      </c>
      <c r="C1" s="43" t="s">
        <v>79</v>
      </c>
      <c r="F1" s="44" t="s">
        <v>80</v>
      </c>
      <c r="G1" s="16" t="s">
        <v>81</v>
      </c>
      <c r="K1" s="37"/>
    </row>
    <row r="2">
      <c r="A2" s="45">
        <v>1980.0</v>
      </c>
      <c r="B2" s="46">
        <v>31.7</v>
      </c>
      <c r="C2" s="46">
        <v>35.0</v>
      </c>
      <c r="E2" s="38" t="s">
        <v>73</v>
      </c>
      <c r="F2" s="9">
        <f t="shared" ref="F2:G2" si="1">AVERAGE(B:B)</f>
        <v>14.64444444</v>
      </c>
      <c r="G2" s="9">
        <f t="shared" si="1"/>
        <v>14.98444444</v>
      </c>
      <c r="H2" s="47" t="s">
        <v>82</v>
      </c>
      <c r="K2" s="41"/>
    </row>
    <row r="3">
      <c r="A3" s="45">
        <v>1981.0</v>
      </c>
      <c r="B3" s="46">
        <v>-5.0</v>
      </c>
      <c r="C3" s="46">
        <v>-3.1</v>
      </c>
      <c r="E3" s="38" t="s">
        <v>74</v>
      </c>
      <c r="F3" s="9">
        <f t="shared" ref="F3:G3" si="2">AVEDEV(B:B)*45/44</f>
        <v>16.50858586</v>
      </c>
      <c r="G3" s="9">
        <f t="shared" si="2"/>
        <v>12.28969697</v>
      </c>
    </row>
    <row r="4">
      <c r="A4" s="45">
        <v>1982.0</v>
      </c>
      <c r="B4" s="46">
        <v>22.3</v>
      </c>
      <c r="C4" s="46">
        <v>32.1</v>
      </c>
      <c r="E4" s="38" t="s">
        <v>75</v>
      </c>
      <c r="F4" s="9">
        <f t="shared" ref="F4:G4" si="3">_xlfn.VAR.S(B:B)</f>
        <v>414.8434343</v>
      </c>
      <c r="G4" s="9">
        <f t="shared" si="3"/>
        <v>240.7672525</v>
      </c>
    </row>
    <row r="5">
      <c r="A5" s="45">
        <v>1983.0</v>
      </c>
      <c r="B5" s="46">
        <v>32.9</v>
      </c>
      <c r="C5" s="46">
        <v>38.4</v>
      </c>
      <c r="E5" s="38" t="s">
        <v>76</v>
      </c>
      <c r="F5" s="9">
        <f t="shared" ref="F5:G5" si="4">_xlfn.STDEV.S(B:B)</f>
        <v>20.36770567</v>
      </c>
      <c r="G5" s="9">
        <f t="shared" si="4"/>
        <v>15.51667659</v>
      </c>
      <c r="H5" s="47" t="s">
        <v>83</v>
      </c>
    </row>
    <row r="6">
      <c r="A6" s="45">
        <v>1984.0</v>
      </c>
      <c r="B6" s="46">
        <v>6.3</v>
      </c>
      <c r="C6" s="46">
        <v>13.7</v>
      </c>
      <c r="E6" s="37"/>
    </row>
    <row r="7">
      <c r="A7" s="45">
        <v>1985.0</v>
      </c>
      <c r="B7" s="46">
        <v>20.4</v>
      </c>
      <c r="C7" s="46">
        <v>31.5</v>
      </c>
      <c r="E7" s="48"/>
      <c r="F7" s="48"/>
    </row>
    <row r="8">
      <c r="A8" s="45">
        <v>1986.0</v>
      </c>
      <c r="B8" s="46">
        <v>18.1</v>
      </c>
      <c r="C8" s="46">
        <v>27.2</v>
      </c>
      <c r="E8" s="48"/>
    </row>
    <row r="9">
      <c r="A9" s="45">
        <v>1987.0</v>
      </c>
      <c r="B9" s="46">
        <v>5.4</v>
      </c>
      <c r="C9" s="46">
        <v>2.8</v>
      </c>
      <c r="E9" s="48"/>
    </row>
    <row r="10">
      <c r="A10" s="45">
        <v>1988.0</v>
      </c>
      <c r="B10" s="46">
        <v>16.8</v>
      </c>
      <c r="C10" s="46">
        <v>22.5</v>
      </c>
      <c r="E10" s="48"/>
    </row>
    <row r="11">
      <c r="A11" s="45">
        <v>1989.0</v>
      </c>
      <c r="B11" s="46">
        <v>29.3</v>
      </c>
      <c r="C11" s="46">
        <v>24.7</v>
      </c>
      <c r="E11" s="48"/>
    </row>
    <row r="12">
      <c r="A12" s="45">
        <v>1990.0</v>
      </c>
      <c r="B12" s="46">
        <v>-8.1</v>
      </c>
      <c r="C12" s="46">
        <v>-5.2</v>
      </c>
      <c r="E12" s="49"/>
    </row>
    <row r="13">
      <c r="A13" s="45">
        <v>1991.0</v>
      </c>
      <c r="B13" s="46">
        <v>32.6</v>
      </c>
      <c r="C13" s="46">
        <v>29.8</v>
      </c>
      <c r="E13" s="50"/>
    </row>
    <row r="14">
      <c r="A14" s="45">
        <v>1992.0</v>
      </c>
      <c r="B14" s="46">
        <v>8.9</v>
      </c>
      <c r="C14" s="46">
        <v>12.4</v>
      </c>
      <c r="E14" s="49"/>
    </row>
    <row r="15">
      <c r="A15" s="45">
        <v>1993.0</v>
      </c>
      <c r="B15" s="46">
        <v>10.5</v>
      </c>
      <c r="C15" s="46">
        <v>16.3</v>
      </c>
      <c r="E15" s="50"/>
    </row>
    <row r="16">
      <c r="A16" s="45">
        <v>1994.0</v>
      </c>
      <c r="B16" s="46">
        <v>-1.2</v>
      </c>
      <c r="C16" s="46">
        <v>5.1</v>
      </c>
    </row>
    <row r="17">
      <c r="A17" s="45">
        <v>1995.0</v>
      </c>
      <c r="B17" s="46">
        <v>37.8</v>
      </c>
      <c r="C17" s="46">
        <v>34.6</v>
      </c>
    </row>
    <row r="18">
      <c r="A18" s="45">
        <v>1996.0</v>
      </c>
      <c r="B18" s="46">
        <v>22.4</v>
      </c>
      <c r="C18" s="46">
        <v>26.7</v>
      </c>
    </row>
    <row r="19">
      <c r="A19" s="45">
        <v>1997.0</v>
      </c>
      <c r="B19" s="45">
        <v>33.1</v>
      </c>
      <c r="C19" s="45">
        <v>28.2</v>
      </c>
    </row>
    <row r="20">
      <c r="A20" s="45">
        <v>1998.0</v>
      </c>
      <c r="B20" s="45">
        <v>39.5</v>
      </c>
      <c r="C20" s="45">
        <v>14.1</v>
      </c>
    </row>
    <row r="21">
      <c r="A21" s="45">
        <v>1999.0</v>
      </c>
      <c r="B21" s="45">
        <v>48.2</v>
      </c>
      <c r="C21" s="45">
        <v>7.2</v>
      </c>
    </row>
    <row r="22">
      <c r="A22" s="45">
        <v>2000.0</v>
      </c>
      <c r="B22" s="45">
        <v>-22.5</v>
      </c>
      <c r="C22" s="45">
        <v>5.6</v>
      </c>
    </row>
    <row r="23">
      <c r="A23" s="45">
        <v>2001.0</v>
      </c>
      <c r="B23" s="45">
        <v>-20.4</v>
      </c>
      <c r="C23" s="45">
        <v>14.9</v>
      </c>
    </row>
    <row r="24">
      <c r="A24" s="45">
        <v>2002.0</v>
      </c>
      <c r="B24" s="45">
        <v>-27.9</v>
      </c>
      <c r="C24" s="45">
        <v>-11.2</v>
      </c>
    </row>
    <row r="25">
      <c r="A25" s="45">
        <v>2003.0</v>
      </c>
      <c r="B25" s="45">
        <v>34.7</v>
      </c>
      <c r="C25" s="45">
        <v>37.1</v>
      </c>
    </row>
    <row r="26">
      <c r="A26" s="45">
        <v>2004.0</v>
      </c>
      <c r="B26" s="45">
        <v>15.6</v>
      </c>
      <c r="C26" s="45">
        <v>19.3</v>
      </c>
    </row>
    <row r="27">
      <c r="A27" s="45">
        <v>2005.0</v>
      </c>
      <c r="B27" s="45">
        <v>6.4</v>
      </c>
      <c r="C27" s="45">
        <v>12.7</v>
      </c>
    </row>
    <row r="28">
      <c r="A28" s="45">
        <v>2006.0</v>
      </c>
      <c r="B28" s="45">
        <v>11.8</v>
      </c>
      <c r="C28" s="45">
        <v>22.2</v>
      </c>
    </row>
    <row r="29">
      <c r="A29" s="45">
        <v>2007.0</v>
      </c>
      <c r="B29" s="45">
        <v>5.3</v>
      </c>
      <c r="C29" s="45">
        <v>1.0</v>
      </c>
    </row>
    <row r="30">
      <c r="A30" s="45">
        <v>2008.0</v>
      </c>
      <c r="B30" s="45">
        <v>-37.5</v>
      </c>
      <c r="C30" s="45">
        <v>-35.0</v>
      </c>
    </row>
    <row r="31">
      <c r="A31" s="45">
        <v>2009.0</v>
      </c>
      <c r="B31" s="45">
        <v>32.8</v>
      </c>
      <c r="C31" s="45">
        <v>36.7</v>
      </c>
    </row>
    <row r="32">
      <c r="A32" s="45">
        <v>2010.0</v>
      </c>
      <c r="B32" s="45">
        <v>16.1</v>
      </c>
      <c r="C32" s="45">
        <v>15.4</v>
      </c>
    </row>
    <row r="33">
      <c r="A33" s="45">
        <v>2011.0</v>
      </c>
      <c r="B33" s="45">
        <v>2.3</v>
      </c>
      <c r="C33" s="45">
        <v>-1.5</v>
      </c>
    </row>
    <row r="34">
      <c r="A34" s="45">
        <v>2012.0</v>
      </c>
      <c r="B34" s="45">
        <v>15.9</v>
      </c>
      <c r="C34" s="45">
        <v>16.2</v>
      </c>
    </row>
    <row r="35">
      <c r="A35" s="45">
        <v>2013.0</v>
      </c>
      <c r="B35" s="45">
        <v>35.2</v>
      </c>
      <c r="C35" s="45">
        <v>32.5</v>
      </c>
    </row>
    <row r="36">
      <c r="A36" s="45">
        <v>2014.0</v>
      </c>
      <c r="B36" s="45">
        <v>13.4</v>
      </c>
      <c r="C36" s="45">
        <v>13.0</v>
      </c>
    </row>
    <row r="37">
      <c r="A37" s="45">
        <v>2015.0</v>
      </c>
      <c r="B37" s="45">
        <v>5.8</v>
      </c>
      <c r="C37" s="45">
        <v>-1.1</v>
      </c>
    </row>
    <row r="38">
      <c r="A38" s="45">
        <v>2016.0</v>
      </c>
      <c r="B38" s="45">
        <v>7.4</v>
      </c>
      <c r="C38" s="45">
        <v>17.3</v>
      </c>
    </row>
    <row r="39">
      <c r="A39" s="45">
        <v>2017.0</v>
      </c>
      <c r="B39" s="45">
        <v>27.3</v>
      </c>
      <c r="C39" s="45">
        <v>15.2</v>
      </c>
    </row>
    <row r="40">
      <c r="A40" s="45">
        <v>2018.0</v>
      </c>
      <c r="B40" s="45">
        <v>-2.1</v>
      </c>
      <c r="C40" s="45">
        <v>-8.3</v>
      </c>
    </row>
    <row r="41">
      <c r="A41" s="45">
        <v>2019.0</v>
      </c>
      <c r="B41" s="45">
        <v>34.9</v>
      </c>
      <c r="C41" s="45">
        <v>26.3</v>
      </c>
    </row>
    <row r="42">
      <c r="A42" s="45">
        <v>2020.0</v>
      </c>
      <c r="B42" s="45">
        <v>38.5</v>
      </c>
      <c r="C42" s="45">
        <v>2.8</v>
      </c>
    </row>
    <row r="43">
      <c r="A43" s="45">
        <v>2021.0</v>
      </c>
      <c r="B43" s="45">
        <v>27.6</v>
      </c>
      <c r="C43" s="45">
        <v>25.1</v>
      </c>
    </row>
    <row r="44">
      <c r="A44" s="45">
        <v>2022.0</v>
      </c>
      <c r="B44" s="45">
        <v>-29.1</v>
      </c>
      <c r="C44" s="45">
        <v>-7.5</v>
      </c>
    </row>
    <row r="45">
      <c r="A45" s="45">
        <v>2023.0</v>
      </c>
      <c r="B45" s="45">
        <v>37.2</v>
      </c>
      <c r="C45" s="45">
        <v>11.9</v>
      </c>
    </row>
    <row r="46">
      <c r="A46" s="45">
        <v>2024.0</v>
      </c>
      <c r="B46" s="45">
        <v>28.4</v>
      </c>
      <c r="C46" s="45">
        <v>19.7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2.38"/>
    <col customWidth="1" min="6" max="6" width="21.5"/>
    <col customWidth="1" min="10" max="10" width="27.75"/>
  </cols>
  <sheetData>
    <row r="1">
      <c r="A1" s="43" t="s">
        <v>77</v>
      </c>
      <c r="B1" s="43" t="s">
        <v>78</v>
      </c>
      <c r="C1" s="43" t="s">
        <v>79</v>
      </c>
      <c r="E1" s="44"/>
      <c r="F1" s="16"/>
      <c r="G1" s="44" t="s">
        <v>80</v>
      </c>
      <c r="H1" s="16" t="s">
        <v>81</v>
      </c>
      <c r="J1" s="37"/>
      <c r="L1" s="37"/>
    </row>
    <row r="2">
      <c r="A2" s="45">
        <v>1980.0</v>
      </c>
      <c r="B2" s="46">
        <v>31.7</v>
      </c>
      <c r="C2" s="46">
        <v>35.0</v>
      </c>
      <c r="F2" s="43" t="s">
        <v>84</v>
      </c>
      <c r="G2" s="9">
        <f t="shared" ref="G2:H2" si="1">G6/G3</f>
        <v>1.3908145</v>
      </c>
      <c r="H2" s="9">
        <f t="shared" si="1"/>
        <v>1.035518978</v>
      </c>
      <c r="J2" s="32"/>
      <c r="L2" s="51"/>
    </row>
    <row r="3">
      <c r="A3" s="45">
        <v>1981.0</v>
      </c>
      <c r="B3" s="46">
        <v>-5.0</v>
      </c>
      <c r="C3" s="46">
        <v>-3.1</v>
      </c>
      <c r="F3" s="38" t="s">
        <v>73</v>
      </c>
      <c r="G3" s="9">
        <f t="shared" ref="G3:H3" si="2">AVERAGE(B:B)</f>
        <v>14.64444444</v>
      </c>
      <c r="H3" s="9">
        <f t="shared" si="2"/>
        <v>14.98444444</v>
      </c>
      <c r="J3" s="32"/>
    </row>
    <row r="4">
      <c r="A4" s="45">
        <v>1982.0</v>
      </c>
      <c r="B4" s="46">
        <v>22.3</v>
      </c>
      <c r="C4" s="46">
        <v>32.1</v>
      </c>
      <c r="F4" s="38" t="s">
        <v>74</v>
      </c>
      <c r="G4" s="9">
        <f t="shared" ref="G4:H4" si="3">AVEDEV(B:B)*45/44</f>
        <v>16.50858586</v>
      </c>
      <c r="H4" s="9">
        <f t="shared" si="3"/>
        <v>12.28969697</v>
      </c>
    </row>
    <row r="5">
      <c r="A5" s="45">
        <v>1983.0</v>
      </c>
      <c r="B5" s="46">
        <v>32.9</v>
      </c>
      <c r="C5" s="46">
        <v>38.4</v>
      </c>
      <c r="F5" s="38" t="s">
        <v>75</v>
      </c>
      <c r="G5" s="9">
        <f t="shared" ref="G5:H5" si="4">_xlfn.VAR.S(B:B)</f>
        <v>414.8434343</v>
      </c>
      <c r="H5" s="9">
        <f t="shared" si="4"/>
        <v>240.7672525</v>
      </c>
    </row>
    <row r="6">
      <c r="A6" s="45">
        <v>1984.0</v>
      </c>
      <c r="B6" s="46">
        <v>6.3</v>
      </c>
      <c r="C6" s="46">
        <v>13.7</v>
      </c>
      <c r="F6" s="38" t="s">
        <v>76</v>
      </c>
      <c r="G6" s="9">
        <f t="shared" ref="G6:H6" si="5">_xlfn.STDEV.S(B:B)</f>
        <v>20.36770567</v>
      </c>
      <c r="H6" s="9">
        <f t="shared" si="5"/>
        <v>15.51667659</v>
      </c>
    </row>
    <row r="7">
      <c r="A7" s="45">
        <v>1985.0</v>
      </c>
      <c r="B7" s="46">
        <v>20.4</v>
      </c>
      <c r="C7" s="46">
        <v>31.5</v>
      </c>
    </row>
    <row r="8">
      <c r="A8" s="45">
        <v>1986.0</v>
      </c>
      <c r="B8" s="46">
        <v>18.1</v>
      </c>
      <c r="C8" s="46">
        <v>27.2</v>
      </c>
    </row>
    <row r="9">
      <c r="A9" s="45">
        <v>1987.0</v>
      </c>
      <c r="B9" s="46">
        <v>5.4</v>
      </c>
      <c r="C9" s="46">
        <v>2.8</v>
      </c>
    </row>
    <row r="10">
      <c r="A10" s="45">
        <v>1988.0</v>
      </c>
      <c r="B10" s="46">
        <v>16.8</v>
      </c>
      <c r="C10" s="46">
        <v>22.5</v>
      </c>
    </row>
    <row r="11">
      <c r="A11" s="45">
        <v>1989.0</v>
      </c>
      <c r="B11" s="46">
        <v>29.3</v>
      </c>
      <c r="C11" s="46">
        <v>24.7</v>
      </c>
    </row>
    <row r="12">
      <c r="A12" s="45">
        <v>1990.0</v>
      </c>
      <c r="B12" s="46">
        <v>-8.1</v>
      </c>
      <c r="C12" s="46">
        <v>-5.2</v>
      </c>
    </row>
    <row r="13">
      <c r="A13" s="45">
        <v>1991.0</v>
      </c>
      <c r="B13" s="46">
        <v>32.6</v>
      </c>
      <c r="C13" s="46">
        <v>29.8</v>
      </c>
    </row>
    <row r="14">
      <c r="A14" s="45">
        <v>1992.0</v>
      </c>
      <c r="B14" s="46">
        <v>8.9</v>
      </c>
      <c r="C14" s="46">
        <v>12.4</v>
      </c>
    </row>
    <row r="15">
      <c r="A15" s="45">
        <v>1993.0</v>
      </c>
      <c r="B15" s="46">
        <v>10.5</v>
      </c>
      <c r="C15" s="46">
        <v>16.3</v>
      </c>
    </row>
    <row r="16">
      <c r="A16" s="45">
        <v>1994.0</v>
      </c>
      <c r="B16" s="46">
        <v>-1.2</v>
      </c>
      <c r="C16" s="46">
        <v>5.1</v>
      </c>
    </row>
    <row r="17">
      <c r="A17" s="45">
        <v>1995.0</v>
      </c>
      <c r="B17" s="46">
        <v>37.8</v>
      </c>
      <c r="C17" s="46">
        <v>34.6</v>
      </c>
    </row>
    <row r="18">
      <c r="A18" s="45">
        <v>1996.0</v>
      </c>
      <c r="B18" s="46">
        <v>22.4</v>
      </c>
      <c r="C18" s="46">
        <v>26.7</v>
      </c>
    </row>
    <row r="19">
      <c r="A19" s="45">
        <v>1997.0</v>
      </c>
      <c r="B19" s="45">
        <v>33.1</v>
      </c>
      <c r="C19" s="45">
        <v>28.2</v>
      </c>
    </row>
    <row r="20">
      <c r="A20" s="45">
        <v>1998.0</v>
      </c>
      <c r="B20" s="45">
        <v>39.5</v>
      </c>
      <c r="C20" s="45">
        <v>14.1</v>
      </c>
    </row>
    <row r="21">
      <c r="A21" s="45">
        <v>1999.0</v>
      </c>
      <c r="B21" s="45">
        <v>48.2</v>
      </c>
      <c r="C21" s="45">
        <v>7.2</v>
      </c>
    </row>
    <row r="22">
      <c r="A22" s="45">
        <v>2000.0</v>
      </c>
      <c r="B22" s="45">
        <v>-22.5</v>
      </c>
      <c r="C22" s="45">
        <v>5.6</v>
      </c>
    </row>
    <row r="23">
      <c r="A23" s="45">
        <v>2001.0</v>
      </c>
      <c r="B23" s="45">
        <v>-20.4</v>
      </c>
      <c r="C23" s="45">
        <v>14.9</v>
      </c>
    </row>
    <row r="24">
      <c r="A24" s="45">
        <v>2002.0</v>
      </c>
      <c r="B24" s="45">
        <v>-27.9</v>
      </c>
      <c r="C24" s="45">
        <v>-11.2</v>
      </c>
    </row>
    <row r="25">
      <c r="A25" s="45">
        <v>2003.0</v>
      </c>
      <c r="B25" s="45">
        <v>34.7</v>
      </c>
      <c r="C25" s="45">
        <v>37.1</v>
      </c>
    </row>
    <row r="26">
      <c r="A26" s="45">
        <v>2004.0</v>
      </c>
      <c r="B26" s="45">
        <v>15.6</v>
      </c>
      <c r="C26" s="45">
        <v>19.3</v>
      </c>
    </row>
    <row r="27">
      <c r="A27" s="45">
        <v>2005.0</v>
      </c>
      <c r="B27" s="45">
        <v>6.4</v>
      </c>
      <c r="C27" s="45">
        <v>12.7</v>
      </c>
    </row>
    <row r="28">
      <c r="A28" s="45">
        <v>2006.0</v>
      </c>
      <c r="B28" s="45">
        <v>11.8</v>
      </c>
      <c r="C28" s="45">
        <v>22.2</v>
      </c>
    </row>
    <row r="29">
      <c r="A29" s="45">
        <v>2007.0</v>
      </c>
      <c r="B29" s="45">
        <v>5.3</v>
      </c>
      <c r="C29" s="45">
        <v>1.0</v>
      </c>
    </row>
    <row r="30">
      <c r="A30" s="45">
        <v>2008.0</v>
      </c>
      <c r="B30" s="45">
        <v>-37.5</v>
      </c>
      <c r="C30" s="45">
        <v>-35.0</v>
      </c>
    </row>
    <row r="31">
      <c r="A31" s="45">
        <v>2009.0</v>
      </c>
      <c r="B31" s="45">
        <v>32.8</v>
      </c>
      <c r="C31" s="45">
        <v>36.7</v>
      </c>
    </row>
    <row r="32">
      <c r="A32" s="45">
        <v>2010.0</v>
      </c>
      <c r="B32" s="45">
        <v>16.1</v>
      </c>
      <c r="C32" s="45">
        <v>15.4</v>
      </c>
    </row>
    <row r="33">
      <c r="A33" s="45">
        <v>2011.0</v>
      </c>
      <c r="B33" s="45">
        <v>2.3</v>
      </c>
      <c r="C33" s="45">
        <v>-1.5</v>
      </c>
    </row>
    <row r="34">
      <c r="A34" s="45">
        <v>2012.0</v>
      </c>
      <c r="B34" s="45">
        <v>15.9</v>
      </c>
      <c r="C34" s="45">
        <v>16.2</v>
      </c>
    </row>
    <row r="35">
      <c r="A35" s="45">
        <v>2013.0</v>
      </c>
      <c r="B35" s="45">
        <v>35.2</v>
      </c>
      <c r="C35" s="45">
        <v>32.5</v>
      </c>
    </row>
    <row r="36">
      <c r="A36" s="45">
        <v>2014.0</v>
      </c>
      <c r="B36" s="45">
        <v>13.4</v>
      </c>
      <c r="C36" s="45">
        <v>13.0</v>
      </c>
    </row>
    <row r="37">
      <c r="A37" s="45">
        <v>2015.0</v>
      </c>
      <c r="B37" s="45">
        <v>5.8</v>
      </c>
      <c r="C37" s="45">
        <v>-1.1</v>
      </c>
    </row>
    <row r="38">
      <c r="A38" s="45">
        <v>2016.0</v>
      </c>
      <c r="B38" s="45">
        <v>7.4</v>
      </c>
      <c r="C38" s="45">
        <v>17.3</v>
      </c>
    </row>
    <row r="39">
      <c r="A39" s="45">
        <v>2017.0</v>
      </c>
      <c r="B39" s="45">
        <v>27.3</v>
      </c>
      <c r="C39" s="45">
        <v>15.2</v>
      </c>
    </row>
    <row r="40">
      <c r="A40" s="45">
        <v>2018.0</v>
      </c>
      <c r="B40" s="45">
        <v>-2.1</v>
      </c>
      <c r="C40" s="45">
        <v>-8.3</v>
      </c>
    </row>
    <row r="41">
      <c r="A41" s="45">
        <v>2019.0</v>
      </c>
      <c r="B41" s="45">
        <v>34.9</v>
      </c>
      <c r="C41" s="45">
        <v>26.3</v>
      </c>
    </row>
    <row r="42">
      <c r="A42" s="45">
        <v>2020.0</v>
      </c>
      <c r="B42" s="45">
        <v>38.5</v>
      </c>
      <c r="C42" s="45">
        <v>2.8</v>
      </c>
    </row>
    <row r="43">
      <c r="A43" s="45">
        <v>2021.0</v>
      </c>
      <c r="B43" s="45">
        <v>27.6</v>
      </c>
      <c r="C43" s="45">
        <v>25.1</v>
      </c>
    </row>
    <row r="44">
      <c r="A44" s="45">
        <v>2022.0</v>
      </c>
      <c r="B44" s="45">
        <v>-29.1</v>
      </c>
      <c r="C44" s="45">
        <v>-7.5</v>
      </c>
    </row>
    <row r="45">
      <c r="A45" s="45">
        <v>2023.0</v>
      </c>
      <c r="B45" s="45">
        <v>37.2</v>
      </c>
      <c r="C45" s="45">
        <v>11.9</v>
      </c>
    </row>
    <row r="46">
      <c r="A46" s="45">
        <v>2024.0</v>
      </c>
      <c r="B46" s="45">
        <v>28.4</v>
      </c>
      <c r="C46" s="45">
        <v>19.7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2.38"/>
    <col customWidth="1" min="6" max="6" width="21.88"/>
    <col customWidth="1" min="7" max="7" width="24.5"/>
    <col customWidth="1" min="8" max="8" width="24.75"/>
    <col customWidth="1" min="10" max="10" width="32.0"/>
  </cols>
  <sheetData>
    <row r="1">
      <c r="A1" s="43" t="s">
        <v>77</v>
      </c>
      <c r="B1" s="43" t="s">
        <v>78</v>
      </c>
      <c r="C1" s="43" t="s">
        <v>79</v>
      </c>
      <c r="G1" s="44" t="s">
        <v>80</v>
      </c>
      <c r="H1" s="16" t="s">
        <v>81</v>
      </c>
      <c r="J1" s="37"/>
    </row>
    <row r="2">
      <c r="A2" s="45">
        <v>1980.0</v>
      </c>
      <c r="B2" s="46">
        <v>31.7</v>
      </c>
      <c r="C2" s="46">
        <v>35.0</v>
      </c>
      <c r="F2" s="38" t="s">
        <v>73</v>
      </c>
      <c r="G2" s="9">
        <f t="shared" ref="G2:H2" si="1">AVERAGE(B:B)</f>
        <v>14.64444444</v>
      </c>
      <c r="H2" s="9">
        <f t="shared" si="1"/>
        <v>14.98444444</v>
      </c>
      <c r="J2" s="51"/>
    </row>
    <row r="3">
      <c r="A3" s="45">
        <v>1981.0</v>
      </c>
      <c r="B3" s="46">
        <v>-5.0</v>
      </c>
      <c r="C3" s="46">
        <v>-3.1</v>
      </c>
      <c r="F3" s="38" t="s">
        <v>74</v>
      </c>
      <c r="G3" s="9">
        <f t="shared" ref="G3:H3" si="2">AVEDEV(B:B)*45/44</f>
        <v>16.50858586</v>
      </c>
      <c r="H3" s="9">
        <f t="shared" si="2"/>
        <v>12.28969697</v>
      </c>
      <c r="J3" s="41"/>
    </row>
    <row r="4">
      <c r="A4" s="45">
        <v>1982.0</v>
      </c>
      <c r="B4" s="46">
        <v>22.3</v>
      </c>
      <c r="C4" s="46">
        <v>32.1</v>
      </c>
      <c r="F4" s="38" t="s">
        <v>75</v>
      </c>
      <c r="G4" s="9">
        <f t="shared" ref="G4:H4" si="3">_xlfn.VAR.S(B:B)</f>
        <v>414.8434343</v>
      </c>
      <c r="H4" s="9">
        <f t="shared" si="3"/>
        <v>240.7672525</v>
      </c>
      <c r="J4" s="41"/>
    </row>
    <row r="5">
      <c r="A5" s="45">
        <v>1983.0</v>
      </c>
      <c r="B5" s="46">
        <v>32.9</v>
      </c>
      <c r="C5" s="46">
        <v>38.4</v>
      </c>
      <c r="F5" s="38" t="s">
        <v>76</v>
      </c>
      <c r="G5" s="9">
        <f t="shared" ref="G5:H5" si="4">_xlfn.STDEV.S(B:B)</f>
        <v>20.36770567</v>
      </c>
      <c r="H5" s="9">
        <f t="shared" si="4"/>
        <v>15.51667659</v>
      </c>
      <c r="J5" s="41"/>
    </row>
    <row r="6">
      <c r="A6" s="45">
        <v>1984.0</v>
      </c>
      <c r="B6" s="46">
        <v>6.3</v>
      </c>
      <c r="C6" s="46">
        <v>13.7</v>
      </c>
      <c r="F6" s="43" t="s">
        <v>84</v>
      </c>
      <c r="G6" s="9">
        <f t="shared" ref="G6:H6" si="5">G5/G2</f>
        <v>1.3908145</v>
      </c>
      <c r="H6" s="9">
        <f t="shared" si="5"/>
        <v>1.035518978</v>
      </c>
    </row>
    <row r="7">
      <c r="A7" s="45">
        <v>1985.0</v>
      </c>
      <c r="B7" s="46">
        <v>20.4</v>
      </c>
      <c r="C7" s="46">
        <v>31.5</v>
      </c>
      <c r="F7" s="43" t="s">
        <v>68</v>
      </c>
      <c r="G7" s="45">
        <v>-37.5</v>
      </c>
      <c r="H7" s="45">
        <v>-35.0</v>
      </c>
    </row>
    <row r="8">
      <c r="A8" s="45">
        <v>1986.0</v>
      </c>
      <c r="B8" s="46">
        <v>18.1</v>
      </c>
      <c r="C8" s="46">
        <v>27.2</v>
      </c>
      <c r="F8" s="43" t="s">
        <v>67</v>
      </c>
      <c r="G8" s="45">
        <v>48.2</v>
      </c>
      <c r="H8" s="45">
        <v>38.4</v>
      </c>
    </row>
    <row r="9">
      <c r="A9" s="45">
        <v>1987.0</v>
      </c>
      <c r="B9" s="46">
        <v>5.4</v>
      </c>
      <c r="C9" s="46">
        <v>2.8</v>
      </c>
      <c r="F9" s="43" t="s">
        <v>85</v>
      </c>
      <c r="G9" s="9">
        <f t="shared" ref="G9:H9" si="6">(G7-G2)/G5</f>
        <v>-2.560153082</v>
      </c>
      <c r="H9" s="9">
        <f t="shared" si="6"/>
        <v>-3.221337001</v>
      </c>
    </row>
    <row r="10">
      <c r="A10" s="45">
        <v>1988.0</v>
      </c>
      <c r="B10" s="46">
        <v>16.8</v>
      </c>
      <c r="C10" s="46">
        <v>22.5</v>
      </c>
      <c r="F10" s="43" t="s">
        <v>86</v>
      </c>
      <c r="G10" s="9">
        <f t="shared" ref="G10:H10" si="7">(G8-G2)/G5</f>
        <v>1.647488239</v>
      </c>
      <c r="H10" s="9">
        <f t="shared" si="7"/>
        <v>1.509057395</v>
      </c>
    </row>
    <row r="11">
      <c r="A11" s="45">
        <v>1989.0</v>
      </c>
      <c r="B11" s="46">
        <v>29.3</v>
      </c>
      <c r="C11" s="46">
        <v>24.7</v>
      </c>
    </row>
    <row r="12">
      <c r="A12" s="45">
        <v>1990.0</v>
      </c>
      <c r="B12" s="46">
        <v>-8.1</v>
      </c>
      <c r="C12" s="46">
        <v>-5.2</v>
      </c>
      <c r="F12" s="52"/>
      <c r="G12" s="32"/>
      <c r="H12" s="41"/>
    </row>
    <row r="13">
      <c r="A13" s="45">
        <v>1991.0</v>
      </c>
      <c r="B13" s="46">
        <v>32.6</v>
      </c>
      <c r="C13" s="46">
        <v>29.8</v>
      </c>
      <c r="F13" s="41"/>
      <c r="G13" s="41"/>
      <c r="H13" s="41"/>
    </row>
    <row r="14">
      <c r="A14" s="45">
        <v>1992.0</v>
      </c>
      <c r="B14" s="46">
        <v>8.9</v>
      </c>
      <c r="C14" s="46">
        <v>12.4</v>
      </c>
      <c r="F14" s="53"/>
      <c r="G14" s="53"/>
      <c r="H14" s="41"/>
    </row>
    <row r="15">
      <c r="A15" s="45">
        <v>1993.0</v>
      </c>
      <c r="B15" s="46">
        <v>10.5</v>
      </c>
      <c r="C15" s="46">
        <v>16.3</v>
      </c>
    </row>
    <row r="16">
      <c r="A16" s="45">
        <v>1994.0</v>
      </c>
      <c r="B16" s="46">
        <v>-1.2</v>
      </c>
      <c r="C16" s="46">
        <v>5.1</v>
      </c>
    </row>
    <row r="17">
      <c r="A17" s="45">
        <v>1995.0</v>
      </c>
      <c r="B17" s="46">
        <v>37.8</v>
      </c>
      <c r="C17" s="46">
        <v>34.6</v>
      </c>
    </row>
    <row r="18">
      <c r="A18" s="45">
        <v>1996.0</v>
      </c>
      <c r="B18" s="46">
        <v>22.4</v>
      </c>
      <c r="C18" s="46">
        <v>26.7</v>
      </c>
    </row>
    <row r="19">
      <c r="A19" s="45">
        <v>1997.0</v>
      </c>
      <c r="B19" s="45">
        <v>33.1</v>
      </c>
      <c r="C19" s="45">
        <v>28.2</v>
      </c>
    </row>
    <row r="20">
      <c r="A20" s="45">
        <v>1998.0</v>
      </c>
      <c r="B20" s="45">
        <v>39.5</v>
      </c>
      <c r="C20" s="45">
        <v>14.1</v>
      </c>
    </row>
    <row r="21">
      <c r="A21" s="45">
        <v>1999.0</v>
      </c>
      <c r="B21" s="45">
        <v>48.2</v>
      </c>
      <c r="C21" s="45">
        <v>7.2</v>
      </c>
    </row>
    <row r="22">
      <c r="A22" s="45">
        <v>2000.0</v>
      </c>
      <c r="B22" s="45">
        <v>-22.5</v>
      </c>
      <c r="C22" s="45">
        <v>5.6</v>
      </c>
    </row>
    <row r="23">
      <c r="A23" s="45">
        <v>2001.0</v>
      </c>
      <c r="B23" s="45">
        <v>-20.4</v>
      </c>
      <c r="C23" s="45">
        <v>14.9</v>
      </c>
    </row>
    <row r="24">
      <c r="A24" s="45">
        <v>2002.0</v>
      </c>
      <c r="B24" s="45">
        <v>-27.9</v>
      </c>
      <c r="C24" s="45">
        <v>-11.2</v>
      </c>
    </row>
    <row r="25">
      <c r="A25" s="45">
        <v>2003.0</v>
      </c>
      <c r="B25" s="45">
        <v>34.7</v>
      </c>
      <c r="C25" s="45">
        <v>37.1</v>
      </c>
    </row>
    <row r="26">
      <c r="A26" s="45">
        <v>2004.0</v>
      </c>
      <c r="B26" s="45">
        <v>15.6</v>
      </c>
      <c r="C26" s="45">
        <v>19.3</v>
      </c>
    </row>
    <row r="27">
      <c r="A27" s="45">
        <v>2005.0</v>
      </c>
      <c r="B27" s="45">
        <v>6.4</v>
      </c>
      <c r="C27" s="45">
        <v>12.7</v>
      </c>
    </row>
    <row r="28">
      <c r="A28" s="45">
        <v>2006.0</v>
      </c>
      <c r="B28" s="45">
        <v>11.8</v>
      </c>
      <c r="C28" s="45">
        <v>22.2</v>
      </c>
    </row>
    <row r="29">
      <c r="A29" s="45">
        <v>2007.0</v>
      </c>
      <c r="B29" s="45">
        <v>5.3</v>
      </c>
      <c r="C29" s="45">
        <v>1.0</v>
      </c>
    </row>
    <row r="30">
      <c r="A30" s="45">
        <v>2008.0</v>
      </c>
      <c r="B30" s="45">
        <v>-37.5</v>
      </c>
      <c r="C30" s="45">
        <v>-35.0</v>
      </c>
    </row>
    <row r="31">
      <c r="A31" s="45">
        <v>2009.0</v>
      </c>
      <c r="B31" s="45">
        <v>32.8</v>
      </c>
      <c r="C31" s="45">
        <v>36.7</v>
      </c>
    </row>
    <row r="32">
      <c r="A32" s="45">
        <v>2010.0</v>
      </c>
      <c r="B32" s="45">
        <v>16.1</v>
      </c>
      <c r="C32" s="45">
        <v>15.4</v>
      </c>
    </row>
    <row r="33">
      <c r="A33" s="45">
        <v>2011.0</v>
      </c>
      <c r="B33" s="45">
        <v>2.3</v>
      </c>
      <c r="C33" s="45">
        <v>-1.5</v>
      </c>
    </row>
    <row r="34">
      <c r="A34" s="45">
        <v>2012.0</v>
      </c>
      <c r="B34" s="45">
        <v>15.9</v>
      </c>
      <c r="C34" s="45">
        <v>16.2</v>
      </c>
    </row>
    <row r="35">
      <c r="A35" s="45">
        <v>2013.0</v>
      </c>
      <c r="B35" s="45">
        <v>35.2</v>
      </c>
      <c r="C35" s="45">
        <v>32.5</v>
      </c>
    </row>
    <row r="36">
      <c r="A36" s="45">
        <v>2014.0</v>
      </c>
      <c r="B36" s="45">
        <v>13.4</v>
      </c>
      <c r="C36" s="45">
        <v>13.0</v>
      </c>
    </row>
    <row r="37">
      <c r="A37" s="45">
        <v>2015.0</v>
      </c>
      <c r="B37" s="45">
        <v>5.8</v>
      </c>
      <c r="C37" s="45">
        <v>-1.1</v>
      </c>
    </row>
    <row r="38">
      <c r="A38" s="45">
        <v>2016.0</v>
      </c>
      <c r="B38" s="45">
        <v>7.4</v>
      </c>
      <c r="C38" s="45">
        <v>17.3</v>
      </c>
    </row>
    <row r="39">
      <c r="A39" s="45">
        <v>2017.0</v>
      </c>
      <c r="B39" s="45">
        <v>27.3</v>
      </c>
      <c r="C39" s="45">
        <v>15.2</v>
      </c>
    </row>
    <row r="40">
      <c r="A40" s="45">
        <v>2018.0</v>
      </c>
      <c r="B40" s="45">
        <v>-2.1</v>
      </c>
      <c r="C40" s="45">
        <v>-8.3</v>
      </c>
    </row>
    <row r="41">
      <c r="A41" s="45">
        <v>2019.0</v>
      </c>
      <c r="B41" s="45">
        <v>34.9</v>
      </c>
      <c r="C41" s="45">
        <v>26.3</v>
      </c>
    </row>
    <row r="42">
      <c r="A42" s="45">
        <v>2020.0</v>
      </c>
      <c r="B42" s="45">
        <v>38.5</v>
      </c>
      <c r="C42" s="45">
        <v>2.8</v>
      </c>
    </row>
    <row r="43">
      <c r="A43" s="45">
        <v>2021.0</v>
      </c>
      <c r="B43" s="45">
        <v>27.6</v>
      </c>
      <c r="C43" s="45">
        <v>25.1</v>
      </c>
    </row>
    <row r="44">
      <c r="A44" s="45">
        <v>2022.0</v>
      </c>
      <c r="B44" s="45">
        <v>-29.1</v>
      </c>
      <c r="C44" s="45">
        <v>-7.5</v>
      </c>
    </row>
    <row r="45">
      <c r="A45" s="45">
        <v>2023.0</v>
      </c>
      <c r="B45" s="45">
        <v>37.2</v>
      </c>
      <c r="C45" s="45">
        <v>11.9</v>
      </c>
    </row>
    <row r="46">
      <c r="A46" s="45">
        <v>2024.0</v>
      </c>
      <c r="B46" s="45">
        <v>28.4</v>
      </c>
      <c r="C46" s="45">
        <v>19.7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2.38"/>
    <col customWidth="1" min="8" max="8" width="15.63"/>
    <col customWidth="1" min="12" max="12" width="38.88"/>
    <col customWidth="1" min="13" max="13" width="44.5"/>
  </cols>
  <sheetData>
    <row r="1">
      <c r="A1" s="43" t="s">
        <v>77</v>
      </c>
      <c r="B1" s="43" t="s">
        <v>78</v>
      </c>
      <c r="C1" s="43" t="s">
        <v>79</v>
      </c>
      <c r="D1" s="54" t="s">
        <v>87</v>
      </c>
      <c r="E1" s="54" t="s">
        <v>88</v>
      </c>
      <c r="F1" s="55" t="s">
        <v>89</v>
      </c>
      <c r="I1" s="56" t="s">
        <v>80</v>
      </c>
      <c r="J1" s="55" t="s">
        <v>81</v>
      </c>
      <c r="L1" s="29"/>
      <c r="M1" s="29"/>
    </row>
    <row r="2">
      <c r="A2" s="45">
        <v>1980.0</v>
      </c>
      <c r="B2" s="46">
        <v>31.7</v>
      </c>
      <c r="C2" s="46">
        <v>35.0</v>
      </c>
      <c r="D2" s="9">
        <f t="shared" ref="D2:E2" si="1">B2-AVERAGE(B$2:B$46)</f>
        <v>17.05555556</v>
      </c>
      <c r="E2" s="9">
        <f t="shared" si="1"/>
        <v>20.01555556</v>
      </c>
      <c r="F2" s="9">
        <f t="shared" ref="F2:F46" si="3">D2*E2</f>
        <v>341.3764198</v>
      </c>
      <c r="H2" s="43" t="s">
        <v>90</v>
      </c>
      <c r="I2" s="9">
        <f>_xlfn.COVARIANCE.S(B:B,C:C)</f>
        <v>232.9266162</v>
      </c>
      <c r="J2" s="9"/>
      <c r="L2" s="41"/>
      <c r="M2" s="41"/>
    </row>
    <row r="3">
      <c r="A3" s="45">
        <v>1981.0</v>
      </c>
      <c r="B3" s="46">
        <v>-5.0</v>
      </c>
      <c r="C3" s="46">
        <v>-3.1</v>
      </c>
      <c r="D3" s="9">
        <f t="shared" ref="D3:E3" si="2">B3-AVERAGE(B$2:B$46)</f>
        <v>-19.64444444</v>
      </c>
      <c r="E3" s="9">
        <f t="shared" si="2"/>
        <v>-18.08444444</v>
      </c>
      <c r="F3" s="9">
        <f t="shared" si="3"/>
        <v>355.2588642</v>
      </c>
      <c r="H3" s="43" t="s">
        <v>91</v>
      </c>
      <c r="I3" s="9">
        <f>CORREL(B:B,C:C)</f>
        <v>0.7370183461</v>
      </c>
      <c r="J3" s="9"/>
      <c r="L3" s="57"/>
      <c r="M3" s="57"/>
    </row>
    <row r="4">
      <c r="A4" s="45">
        <v>1982.0</v>
      </c>
      <c r="B4" s="46">
        <v>22.3</v>
      </c>
      <c r="C4" s="46">
        <v>32.1</v>
      </c>
      <c r="D4" s="9">
        <f t="shared" ref="D4:E4" si="4">B4-AVERAGE(B$2:B$46)</f>
        <v>7.655555556</v>
      </c>
      <c r="E4" s="9">
        <f t="shared" si="4"/>
        <v>17.11555556</v>
      </c>
      <c r="F4" s="9">
        <f t="shared" si="3"/>
        <v>131.0290864</v>
      </c>
      <c r="H4" s="43" t="s">
        <v>92</v>
      </c>
      <c r="I4" s="9">
        <f>SUM(F:F)/44</f>
        <v>232.9266162</v>
      </c>
      <c r="J4" s="9">
        <f>I4/(I5*J5)</f>
        <v>0.7370183461</v>
      </c>
      <c r="L4" s="41"/>
      <c r="M4" s="41"/>
    </row>
    <row r="5">
      <c r="A5" s="45">
        <v>1983.0</v>
      </c>
      <c r="B5" s="46">
        <v>32.9</v>
      </c>
      <c r="C5" s="46">
        <v>38.4</v>
      </c>
      <c r="D5" s="9">
        <f t="shared" ref="D5:E5" si="5">B5-AVERAGE(B$2:B$46)</f>
        <v>18.25555556</v>
      </c>
      <c r="E5" s="9">
        <f t="shared" si="5"/>
        <v>23.41555556</v>
      </c>
      <c r="F5" s="9">
        <f t="shared" si="3"/>
        <v>427.4639753</v>
      </c>
      <c r="H5" s="43" t="s">
        <v>93</v>
      </c>
      <c r="I5" s="9">
        <f t="shared" ref="I5:J5" si="6">STDEV(B:B)</f>
        <v>20.36770567</v>
      </c>
      <c r="J5" s="9">
        <f t="shared" si="6"/>
        <v>15.51667659</v>
      </c>
      <c r="L5" s="32"/>
      <c r="M5" s="32"/>
    </row>
    <row r="6">
      <c r="A6" s="45">
        <v>1984.0</v>
      </c>
      <c r="B6" s="46">
        <v>6.3</v>
      </c>
      <c r="C6" s="46">
        <v>13.7</v>
      </c>
      <c r="D6" s="9">
        <f t="shared" ref="D6:E6" si="7">B6-AVERAGE(B$2:B$46)</f>
        <v>-8.344444444</v>
      </c>
      <c r="E6" s="9">
        <f t="shared" si="7"/>
        <v>-1.284444444</v>
      </c>
      <c r="F6" s="9">
        <f t="shared" si="3"/>
        <v>10.71797531</v>
      </c>
      <c r="L6" s="41"/>
      <c r="M6" s="41"/>
    </row>
    <row r="7">
      <c r="A7" s="45">
        <v>1985.0</v>
      </c>
      <c r="B7" s="46">
        <v>20.4</v>
      </c>
      <c r="C7" s="46">
        <v>31.5</v>
      </c>
      <c r="D7" s="9">
        <f t="shared" ref="D7:E7" si="8">B7-AVERAGE(B$2:B$46)</f>
        <v>5.755555556</v>
      </c>
      <c r="E7" s="9">
        <f t="shared" si="8"/>
        <v>16.51555556</v>
      </c>
      <c r="F7" s="9">
        <f t="shared" si="3"/>
        <v>95.05619753</v>
      </c>
      <c r="L7" s="41"/>
      <c r="M7" s="41"/>
    </row>
    <row r="8">
      <c r="A8" s="45">
        <v>1986.0</v>
      </c>
      <c r="B8" s="46">
        <v>18.1</v>
      </c>
      <c r="C8" s="46">
        <v>27.2</v>
      </c>
      <c r="D8" s="9">
        <f t="shared" ref="D8:E8" si="9">B8-AVERAGE(B$2:B$46)</f>
        <v>3.455555556</v>
      </c>
      <c r="E8" s="9">
        <f t="shared" si="9"/>
        <v>12.21555556</v>
      </c>
      <c r="F8" s="9">
        <f t="shared" si="3"/>
        <v>42.21153086</v>
      </c>
      <c r="L8" s="41"/>
      <c r="M8" s="41"/>
    </row>
    <row r="9">
      <c r="A9" s="45">
        <v>1987.0</v>
      </c>
      <c r="B9" s="46">
        <v>5.4</v>
      </c>
      <c r="C9" s="46">
        <v>2.8</v>
      </c>
      <c r="D9" s="9">
        <f t="shared" ref="D9:E9" si="10">B9-AVERAGE(B$2:B$46)</f>
        <v>-9.244444444</v>
      </c>
      <c r="E9" s="9">
        <f t="shared" si="10"/>
        <v>-12.18444444</v>
      </c>
      <c r="F9" s="9">
        <f t="shared" si="3"/>
        <v>112.6384198</v>
      </c>
      <c r="L9" s="57"/>
      <c r="M9" s="57"/>
    </row>
    <row r="10">
      <c r="A10" s="45">
        <v>1988.0</v>
      </c>
      <c r="B10" s="46">
        <v>16.8</v>
      </c>
      <c r="C10" s="46">
        <v>22.5</v>
      </c>
      <c r="D10" s="9">
        <f t="shared" ref="D10:E10" si="11">B10-AVERAGE(B$2:B$46)</f>
        <v>2.155555556</v>
      </c>
      <c r="E10" s="9">
        <f t="shared" si="11"/>
        <v>7.515555556</v>
      </c>
      <c r="F10" s="9">
        <f t="shared" si="3"/>
        <v>16.20019753</v>
      </c>
    </row>
    <row r="11">
      <c r="A11" s="45">
        <v>1989.0</v>
      </c>
      <c r="B11" s="46">
        <v>29.3</v>
      </c>
      <c r="C11" s="46">
        <v>24.7</v>
      </c>
      <c r="D11" s="9">
        <f t="shared" ref="D11:E11" si="12">B11-AVERAGE(B$2:B$46)</f>
        <v>14.65555556</v>
      </c>
      <c r="E11" s="9">
        <f t="shared" si="12"/>
        <v>9.715555556</v>
      </c>
      <c r="F11" s="9">
        <f t="shared" si="3"/>
        <v>142.3868642</v>
      </c>
    </row>
    <row r="12">
      <c r="A12" s="45">
        <v>1990.0</v>
      </c>
      <c r="B12" s="46">
        <v>-8.1</v>
      </c>
      <c r="C12" s="46">
        <v>-5.2</v>
      </c>
      <c r="D12" s="9">
        <f t="shared" ref="D12:E12" si="13">B12-AVERAGE(B$2:B$46)</f>
        <v>-22.74444444</v>
      </c>
      <c r="E12" s="9">
        <f t="shared" si="13"/>
        <v>-20.18444444</v>
      </c>
      <c r="F12" s="9">
        <f t="shared" si="3"/>
        <v>459.0839753</v>
      </c>
    </row>
    <row r="13">
      <c r="A13" s="45">
        <v>1991.0</v>
      </c>
      <c r="B13" s="46">
        <v>32.6</v>
      </c>
      <c r="C13" s="46">
        <v>29.8</v>
      </c>
      <c r="D13" s="9">
        <f t="shared" ref="D13:E13" si="14">B13-AVERAGE(B$2:B$46)</f>
        <v>17.95555556</v>
      </c>
      <c r="E13" s="9">
        <f t="shared" si="14"/>
        <v>14.81555556</v>
      </c>
      <c r="F13" s="9">
        <f t="shared" si="3"/>
        <v>266.0215309</v>
      </c>
    </row>
    <row r="14">
      <c r="A14" s="45">
        <v>1992.0</v>
      </c>
      <c r="B14" s="46">
        <v>8.9</v>
      </c>
      <c r="C14" s="46">
        <v>12.4</v>
      </c>
      <c r="D14" s="9">
        <f t="shared" ref="D14:E14" si="15">B14-AVERAGE(B$2:B$46)</f>
        <v>-5.744444444</v>
      </c>
      <c r="E14" s="9">
        <f t="shared" si="15"/>
        <v>-2.584444444</v>
      </c>
      <c r="F14" s="9">
        <f t="shared" si="3"/>
        <v>14.84619753</v>
      </c>
    </row>
    <row r="15">
      <c r="A15" s="45">
        <v>1993.0</v>
      </c>
      <c r="B15" s="46">
        <v>10.5</v>
      </c>
      <c r="C15" s="46">
        <v>16.3</v>
      </c>
      <c r="D15" s="9">
        <f t="shared" ref="D15:E15" si="16">B15-AVERAGE(B$2:B$46)</f>
        <v>-4.144444444</v>
      </c>
      <c r="E15" s="9">
        <f t="shared" si="16"/>
        <v>1.315555556</v>
      </c>
      <c r="F15" s="9">
        <f t="shared" si="3"/>
        <v>-5.452246914</v>
      </c>
    </row>
    <row r="16">
      <c r="A16" s="45">
        <v>1994.0</v>
      </c>
      <c r="B16" s="46">
        <v>-1.2</v>
      </c>
      <c r="C16" s="46">
        <v>5.1</v>
      </c>
      <c r="D16" s="9">
        <f t="shared" ref="D16:E16" si="17">B16-AVERAGE(B$2:B$46)</f>
        <v>-15.84444444</v>
      </c>
      <c r="E16" s="9">
        <f t="shared" si="17"/>
        <v>-9.884444444</v>
      </c>
      <c r="F16" s="9">
        <f t="shared" si="3"/>
        <v>156.6135309</v>
      </c>
    </row>
    <row r="17">
      <c r="A17" s="45">
        <v>1995.0</v>
      </c>
      <c r="B17" s="46">
        <v>37.8</v>
      </c>
      <c r="C17" s="46">
        <v>34.6</v>
      </c>
      <c r="D17" s="9">
        <f t="shared" ref="D17:E17" si="18">B17-AVERAGE(B$2:B$46)</f>
        <v>23.15555556</v>
      </c>
      <c r="E17" s="9">
        <f t="shared" si="18"/>
        <v>19.61555556</v>
      </c>
      <c r="F17" s="9">
        <f t="shared" si="3"/>
        <v>454.2090864</v>
      </c>
    </row>
    <row r="18">
      <c r="A18" s="45">
        <v>1996.0</v>
      </c>
      <c r="B18" s="46">
        <v>22.4</v>
      </c>
      <c r="C18" s="46">
        <v>26.7</v>
      </c>
      <c r="D18" s="9">
        <f t="shared" ref="D18:E18" si="19">B18-AVERAGE(B$2:B$46)</f>
        <v>7.755555556</v>
      </c>
      <c r="E18" s="9">
        <f t="shared" si="19"/>
        <v>11.71555556</v>
      </c>
      <c r="F18" s="9">
        <f t="shared" si="3"/>
        <v>90.86064198</v>
      </c>
    </row>
    <row r="19">
      <c r="A19" s="45">
        <v>1997.0</v>
      </c>
      <c r="B19" s="45">
        <v>33.1</v>
      </c>
      <c r="C19" s="45">
        <v>28.2</v>
      </c>
      <c r="D19" s="9">
        <f t="shared" ref="D19:E19" si="20">B19-AVERAGE(B$2:B$46)</f>
        <v>18.45555556</v>
      </c>
      <c r="E19" s="9">
        <f t="shared" si="20"/>
        <v>13.21555556</v>
      </c>
      <c r="F19" s="9">
        <f t="shared" si="3"/>
        <v>243.9004198</v>
      </c>
    </row>
    <row r="20">
      <c r="A20" s="45">
        <v>1998.0</v>
      </c>
      <c r="B20" s="45">
        <v>39.5</v>
      </c>
      <c r="C20" s="45">
        <v>14.1</v>
      </c>
      <c r="D20" s="9">
        <f t="shared" ref="D20:E20" si="21">B20-AVERAGE(B$2:B$46)</f>
        <v>24.85555556</v>
      </c>
      <c r="E20" s="9">
        <f t="shared" si="21"/>
        <v>-0.8844444444</v>
      </c>
      <c r="F20" s="9">
        <f t="shared" si="3"/>
        <v>-21.98335802</v>
      </c>
    </row>
    <row r="21">
      <c r="A21" s="45">
        <v>1999.0</v>
      </c>
      <c r="B21" s="45">
        <v>48.2</v>
      </c>
      <c r="C21" s="45">
        <v>7.2</v>
      </c>
      <c r="D21" s="9">
        <f t="shared" ref="D21:E21" si="22">B21-AVERAGE(B$2:B$46)</f>
        <v>33.55555556</v>
      </c>
      <c r="E21" s="9">
        <f t="shared" si="22"/>
        <v>-7.784444444</v>
      </c>
      <c r="F21" s="9">
        <f t="shared" si="3"/>
        <v>-261.211358</v>
      </c>
    </row>
    <row r="22">
      <c r="A22" s="45">
        <v>2000.0</v>
      </c>
      <c r="B22" s="45">
        <v>-22.5</v>
      </c>
      <c r="C22" s="45">
        <v>5.6</v>
      </c>
      <c r="D22" s="9">
        <f t="shared" ref="D22:E22" si="23">B22-AVERAGE(B$2:B$46)</f>
        <v>-37.14444444</v>
      </c>
      <c r="E22" s="9">
        <f t="shared" si="23"/>
        <v>-9.384444444</v>
      </c>
      <c r="F22" s="9">
        <f t="shared" si="3"/>
        <v>348.5799753</v>
      </c>
    </row>
    <row r="23">
      <c r="A23" s="45">
        <v>2001.0</v>
      </c>
      <c r="B23" s="45">
        <v>-20.4</v>
      </c>
      <c r="C23" s="45">
        <v>14.9</v>
      </c>
      <c r="D23" s="9">
        <f t="shared" ref="D23:E23" si="24">B23-AVERAGE(B$2:B$46)</f>
        <v>-35.04444444</v>
      </c>
      <c r="E23" s="9">
        <f t="shared" si="24"/>
        <v>-0.08444444444</v>
      </c>
      <c r="F23" s="9">
        <f t="shared" si="3"/>
        <v>2.959308642</v>
      </c>
    </row>
    <row r="24">
      <c r="A24" s="45">
        <v>2002.0</v>
      </c>
      <c r="B24" s="45">
        <v>-27.9</v>
      </c>
      <c r="C24" s="45">
        <v>-11.2</v>
      </c>
      <c r="D24" s="9">
        <f t="shared" ref="D24:E24" si="25">B24-AVERAGE(B$2:B$46)</f>
        <v>-42.54444444</v>
      </c>
      <c r="E24" s="9">
        <f t="shared" si="25"/>
        <v>-26.18444444</v>
      </c>
      <c r="F24" s="9">
        <f t="shared" si="3"/>
        <v>1114.002642</v>
      </c>
    </row>
    <row r="25">
      <c r="A25" s="45">
        <v>2003.0</v>
      </c>
      <c r="B25" s="45">
        <v>34.7</v>
      </c>
      <c r="C25" s="45">
        <v>37.1</v>
      </c>
      <c r="D25" s="9">
        <f t="shared" ref="D25:E25" si="26">B25-AVERAGE(B$2:B$46)</f>
        <v>20.05555556</v>
      </c>
      <c r="E25" s="9">
        <f t="shared" si="26"/>
        <v>22.11555556</v>
      </c>
      <c r="F25" s="9">
        <f t="shared" si="3"/>
        <v>443.5397531</v>
      </c>
    </row>
    <row r="26">
      <c r="A26" s="45">
        <v>2004.0</v>
      </c>
      <c r="B26" s="45">
        <v>15.6</v>
      </c>
      <c r="C26" s="45">
        <v>19.3</v>
      </c>
      <c r="D26" s="9">
        <f t="shared" ref="D26:E26" si="27">B26-AVERAGE(B$2:B$46)</f>
        <v>0.9555555556</v>
      </c>
      <c r="E26" s="9">
        <f t="shared" si="27"/>
        <v>4.315555556</v>
      </c>
      <c r="F26" s="9">
        <f t="shared" si="3"/>
        <v>4.123753086</v>
      </c>
    </row>
    <row r="27">
      <c r="A27" s="45">
        <v>2005.0</v>
      </c>
      <c r="B27" s="45">
        <v>6.4</v>
      </c>
      <c r="C27" s="45">
        <v>12.7</v>
      </c>
      <c r="D27" s="9">
        <f t="shared" ref="D27:E27" si="28">B27-AVERAGE(B$2:B$46)</f>
        <v>-8.244444444</v>
      </c>
      <c r="E27" s="9">
        <f t="shared" si="28"/>
        <v>-2.284444444</v>
      </c>
      <c r="F27" s="9">
        <f t="shared" si="3"/>
        <v>18.83397531</v>
      </c>
    </row>
    <row r="28">
      <c r="A28" s="45">
        <v>2006.0</v>
      </c>
      <c r="B28" s="45">
        <v>11.8</v>
      </c>
      <c r="C28" s="45">
        <v>22.2</v>
      </c>
      <c r="D28" s="9">
        <f t="shared" ref="D28:E28" si="29">B28-AVERAGE(B$2:B$46)</f>
        <v>-2.844444444</v>
      </c>
      <c r="E28" s="9">
        <f t="shared" si="29"/>
        <v>7.215555556</v>
      </c>
      <c r="F28" s="9">
        <f t="shared" si="3"/>
        <v>-20.52424691</v>
      </c>
    </row>
    <row r="29">
      <c r="A29" s="45">
        <v>2007.0</v>
      </c>
      <c r="B29" s="45">
        <v>5.3</v>
      </c>
      <c r="C29" s="45">
        <v>1.0</v>
      </c>
      <c r="D29" s="9">
        <f t="shared" ref="D29:E29" si="30">B29-AVERAGE(B$2:B$46)</f>
        <v>-9.344444444</v>
      </c>
      <c r="E29" s="9">
        <f t="shared" si="30"/>
        <v>-13.98444444</v>
      </c>
      <c r="F29" s="9">
        <f t="shared" si="3"/>
        <v>130.6768642</v>
      </c>
    </row>
    <row r="30">
      <c r="A30" s="45">
        <v>2008.0</v>
      </c>
      <c r="B30" s="45">
        <v>-37.5</v>
      </c>
      <c r="C30" s="45">
        <v>-35.0</v>
      </c>
      <c r="D30" s="9">
        <f t="shared" ref="D30:E30" si="31">B30-AVERAGE(B$2:B$46)</f>
        <v>-52.14444444</v>
      </c>
      <c r="E30" s="9">
        <f t="shared" si="31"/>
        <v>-49.98444444</v>
      </c>
      <c r="F30" s="9">
        <f t="shared" si="3"/>
        <v>2606.411086</v>
      </c>
    </row>
    <row r="31">
      <c r="A31" s="45">
        <v>2009.0</v>
      </c>
      <c r="B31" s="45">
        <v>32.8</v>
      </c>
      <c r="C31" s="45">
        <v>36.7</v>
      </c>
      <c r="D31" s="9">
        <f t="shared" ref="D31:E31" si="32">B31-AVERAGE(B$2:B$46)</f>
        <v>18.15555556</v>
      </c>
      <c r="E31" s="9">
        <f t="shared" si="32"/>
        <v>21.71555556</v>
      </c>
      <c r="F31" s="9">
        <f t="shared" si="3"/>
        <v>394.2579753</v>
      </c>
    </row>
    <row r="32">
      <c r="A32" s="45">
        <v>2010.0</v>
      </c>
      <c r="B32" s="45">
        <v>16.1</v>
      </c>
      <c r="C32" s="45">
        <v>15.4</v>
      </c>
      <c r="D32" s="9">
        <f t="shared" ref="D32:E32" si="33">B32-AVERAGE(B$2:B$46)</f>
        <v>1.455555556</v>
      </c>
      <c r="E32" s="9">
        <f t="shared" si="33"/>
        <v>0.4155555556</v>
      </c>
      <c r="F32" s="9">
        <f t="shared" si="3"/>
        <v>0.6048641975</v>
      </c>
    </row>
    <row r="33">
      <c r="A33" s="45">
        <v>2011.0</v>
      </c>
      <c r="B33" s="45">
        <v>2.3</v>
      </c>
      <c r="C33" s="45">
        <v>-1.5</v>
      </c>
      <c r="D33" s="9">
        <f t="shared" ref="D33:E33" si="34">B33-AVERAGE(B$2:B$46)</f>
        <v>-12.34444444</v>
      </c>
      <c r="E33" s="9">
        <f t="shared" si="34"/>
        <v>-16.48444444</v>
      </c>
      <c r="F33" s="9">
        <f t="shared" si="3"/>
        <v>203.4913086</v>
      </c>
    </row>
    <row r="34">
      <c r="A34" s="45">
        <v>2012.0</v>
      </c>
      <c r="B34" s="45">
        <v>15.9</v>
      </c>
      <c r="C34" s="45">
        <v>16.2</v>
      </c>
      <c r="D34" s="9">
        <f t="shared" ref="D34:E34" si="35">B34-AVERAGE(B$2:B$46)</f>
        <v>1.255555556</v>
      </c>
      <c r="E34" s="9">
        <f t="shared" si="35"/>
        <v>1.215555556</v>
      </c>
      <c r="F34" s="9">
        <f t="shared" si="3"/>
        <v>1.526197531</v>
      </c>
    </row>
    <row r="35">
      <c r="A35" s="45">
        <v>2013.0</v>
      </c>
      <c r="B35" s="45">
        <v>35.2</v>
      </c>
      <c r="C35" s="45">
        <v>32.5</v>
      </c>
      <c r="D35" s="9">
        <f t="shared" ref="D35:E35" si="36">B35-AVERAGE(B$2:B$46)</f>
        <v>20.55555556</v>
      </c>
      <c r="E35" s="9">
        <f t="shared" si="36"/>
        <v>17.51555556</v>
      </c>
      <c r="F35" s="9">
        <f t="shared" si="3"/>
        <v>360.0419753</v>
      </c>
    </row>
    <row r="36">
      <c r="A36" s="45">
        <v>2014.0</v>
      </c>
      <c r="B36" s="45">
        <v>13.4</v>
      </c>
      <c r="C36" s="45">
        <v>13.0</v>
      </c>
      <c r="D36" s="9">
        <f t="shared" ref="D36:E36" si="37">B36-AVERAGE(B$2:B$46)</f>
        <v>-1.244444444</v>
      </c>
      <c r="E36" s="9">
        <f t="shared" si="37"/>
        <v>-1.984444444</v>
      </c>
      <c r="F36" s="9">
        <f t="shared" si="3"/>
        <v>2.469530864</v>
      </c>
    </row>
    <row r="37">
      <c r="A37" s="45">
        <v>2015.0</v>
      </c>
      <c r="B37" s="45">
        <v>5.8</v>
      </c>
      <c r="C37" s="45">
        <v>-1.1</v>
      </c>
      <c r="D37" s="9">
        <f t="shared" ref="D37:E37" si="38">B37-AVERAGE(B$2:B$46)</f>
        <v>-8.844444444</v>
      </c>
      <c r="E37" s="9">
        <f t="shared" si="38"/>
        <v>-16.08444444</v>
      </c>
      <c r="F37" s="9">
        <f t="shared" si="3"/>
        <v>142.2579753</v>
      </c>
    </row>
    <row r="38">
      <c r="A38" s="45">
        <v>2016.0</v>
      </c>
      <c r="B38" s="45">
        <v>7.4</v>
      </c>
      <c r="C38" s="45">
        <v>17.3</v>
      </c>
      <c r="D38" s="9">
        <f t="shared" ref="D38:E38" si="39">B38-AVERAGE(B$2:B$46)</f>
        <v>-7.244444444</v>
      </c>
      <c r="E38" s="9">
        <f t="shared" si="39"/>
        <v>2.315555556</v>
      </c>
      <c r="F38" s="9">
        <f t="shared" si="3"/>
        <v>-16.77491358</v>
      </c>
    </row>
    <row r="39">
      <c r="A39" s="45">
        <v>2017.0</v>
      </c>
      <c r="B39" s="45">
        <v>27.3</v>
      </c>
      <c r="C39" s="45">
        <v>15.2</v>
      </c>
      <c r="D39" s="9">
        <f t="shared" ref="D39:E39" si="40">B39-AVERAGE(B$2:B$46)</f>
        <v>12.65555556</v>
      </c>
      <c r="E39" s="9">
        <f t="shared" si="40"/>
        <v>0.2155555556</v>
      </c>
      <c r="F39" s="9">
        <f t="shared" si="3"/>
        <v>2.727975309</v>
      </c>
    </row>
    <row r="40">
      <c r="A40" s="45">
        <v>2018.0</v>
      </c>
      <c r="B40" s="45">
        <v>-2.1</v>
      </c>
      <c r="C40" s="45">
        <v>-8.3</v>
      </c>
      <c r="D40" s="9">
        <f t="shared" ref="D40:E40" si="41">B40-AVERAGE(B$2:B$46)</f>
        <v>-16.74444444</v>
      </c>
      <c r="E40" s="9">
        <f t="shared" si="41"/>
        <v>-23.28444444</v>
      </c>
      <c r="F40" s="9">
        <f t="shared" si="3"/>
        <v>389.8850864</v>
      </c>
    </row>
    <row r="41">
      <c r="A41" s="45">
        <v>2019.0</v>
      </c>
      <c r="B41" s="45">
        <v>34.9</v>
      </c>
      <c r="C41" s="45">
        <v>26.3</v>
      </c>
      <c r="D41" s="9">
        <f t="shared" ref="D41:E41" si="42">B41-AVERAGE(B$2:B$46)</f>
        <v>20.25555556</v>
      </c>
      <c r="E41" s="9">
        <f t="shared" si="42"/>
        <v>11.31555556</v>
      </c>
      <c r="F41" s="9">
        <f t="shared" si="3"/>
        <v>229.2028642</v>
      </c>
    </row>
    <row r="42">
      <c r="A42" s="45">
        <v>2020.0</v>
      </c>
      <c r="B42" s="45">
        <v>38.5</v>
      </c>
      <c r="C42" s="45">
        <v>2.8</v>
      </c>
      <c r="D42" s="9">
        <f t="shared" ref="D42:E42" si="43">B42-AVERAGE(B$2:B$46)</f>
        <v>23.85555556</v>
      </c>
      <c r="E42" s="9">
        <f t="shared" si="43"/>
        <v>-12.18444444</v>
      </c>
      <c r="F42" s="9">
        <f t="shared" si="3"/>
        <v>-290.6666914</v>
      </c>
    </row>
    <row r="43">
      <c r="A43" s="45">
        <v>2021.0</v>
      </c>
      <c r="B43" s="45">
        <v>27.6</v>
      </c>
      <c r="C43" s="45">
        <v>25.1</v>
      </c>
      <c r="D43" s="9">
        <f t="shared" ref="D43:E43" si="44">B43-AVERAGE(B$2:B$46)</f>
        <v>12.95555556</v>
      </c>
      <c r="E43" s="9">
        <f t="shared" si="44"/>
        <v>10.11555556</v>
      </c>
      <c r="F43" s="9">
        <f t="shared" si="3"/>
        <v>131.052642</v>
      </c>
    </row>
    <row r="44">
      <c r="A44" s="45">
        <v>2022.0</v>
      </c>
      <c r="B44" s="45">
        <v>-29.1</v>
      </c>
      <c r="C44" s="45">
        <v>-7.5</v>
      </c>
      <c r="D44" s="9">
        <f t="shared" ref="D44:E44" si="45">B44-AVERAGE(B$2:B$46)</f>
        <v>-43.74444444</v>
      </c>
      <c r="E44" s="9">
        <f t="shared" si="45"/>
        <v>-22.48444444</v>
      </c>
      <c r="F44" s="9">
        <f t="shared" si="3"/>
        <v>983.5695309</v>
      </c>
    </row>
    <row r="45">
      <c r="A45" s="45">
        <v>2023.0</v>
      </c>
      <c r="B45" s="45">
        <v>37.2</v>
      </c>
      <c r="C45" s="45">
        <v>11.9</v>
      </c>
      <c r="D45" s="9">
        <f t="shared" ref="D45:E45" si="46">B45-AVERAGE(B$2:B$46)</f>
        <v>22.55555556</v>
      </c>
      <c r="E45" s="9">
        <f t="shared" si="46"/>
        <v>-3.084444444</v>
      </c>
      <c r="F45" s="9">
        <f t="shared" si="3"/>
        <v>-69.57135802</v>
      </c>
    </row>
    <row r="46">
      <c r="A46" s="45">
        <v>2024.0</v>
      </c>
      <c r="B46" s="45">
        <v>28.4</v>
      </c>
      <c r="C46" s="45">
        <v>19.7</v>
      </c>
      <c r="D46" s="9">
        <f t="shared" ref="D46:E46" si="47">B46-AVERAGE(B$2:B$46)</f>
        <v>13.75555556</v>
      </c>
      <c r="E46" s="9">
        <f t="shared" si="47"/>
        <v>4.715555556</v>
      </c>
      <c r="F46" s="9">
        <f t="shared" si="3"/>
        <v>64.86508642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2.38"/>
    <col customWidth="1" min="5" max="5" width="24.0"/>
  </cols>
  <sheetData>
    <row r="1">
      <c r="A1" s="43" t="s">
        <v>77</v>
      </c>
      <c r="B1" s="43" t="s">
        <v>78</v>
      </c>
      <c r="C1" s="43" t="s">
        <v>79</v>
      </c>
      <c r="F1" s="44" t="s">
        <v>80</v>
      </c>
      <c r="G1" s="16" t="s">
        <v>81</v>
      </c>
      <c r="H1" s="16"/>
    </row>
    <row r="2">
      <c r="A2" s="45">
        <v>1980.0</v>
      </c>
      <c r="B2" s="46">
        <v>31.7</v>
      </c>
      <c r="C2" s="46">
        <v>35.0</v>
      </c>
      <c r="E2" s="38" t="s">
        <v>73</v>
      </c>
      <c r="F2" s="9">
        <f t="shared" ref="F2:G2" si="1">AVERAGE(B:B)</f>
        <v>14.64444444</v>
      </c>
      <c r="G2" s="9">
        <f t="shared" si="1"/>
        <v>14.98444444</v>
      </c>
      <c r="H2" s="9"/>
    </row>
    <row r="3">
      <c r="A3" s="45">
        <v>1981.0</v>
      </c>
      <c r="B3" s="46">
        <v>-5.0</v>
      </c>
      <c r="C3" s="46">
        <v>-3.1</v>
      </c>
      <c r="E3" s="38" t="s">
        <v>74</v>
      </c>
      <c r="F3" s="9">
        <f t="shared" ref="F3:G3" si="2">AVEDEV(B:B)*45/44</f>
        <v>16.50858586</v>
      </c>
      <c r="G3" s="9">
        <f t="shared" si="2"/>
        <v>12.28969697</v>
      </c>
      <c r="H3" s="9"/>
    </row>
    <row r="4">
      <c r="A4" s="45">
        <v>1982.0</v>
      </c>
      <c r="B4" s="46">
        <v>22.3</v>
      </c>
      <c r="C4" s="46">
        <v>32.1</v>
      </c>
      <c r="E4" s="38" t="s">
        <v>75</v>
      </c>
      <c r="F4" s="9">
        <f t="shared" ref="F4:G4" si="3">_xlfn.VAR.S(B:B)</f>
        <v>414.8434343</v>
      </c>
      <c r="G4" s="9">
        <f t="shared" si="3"/>
        <v>240.7672525</v>
      </c>
      <c r="H4" s="9"/>
    </row>
    <row r="5">
      <c r="A5" s="45">
        <v>1983.0</v>
      </c>
      <c r="B5" s="46">
        <v>32.9</v>
      </c>
      <c r="C5" s="46">
        <v>38.4</v>
      </c>
      <c r="E5" s="38" t="s">
        <v>76</v>
      </c>
      <c r="F5" s="9">
        <f t="shared" ref="F5:G5" si="4">_xlfn.STDEV.S(B:B)</f>
        <v>20.36770567</v>
      </c>
      <c r="G5" s="9">
        <f t="shared" si="4"/>
        <v>15.51667659</v>
      </c>
      <c r="H5" s="9"/>
    </row>
    <row r="6">
      <c r="A6" s="45">
        <v>1984.0</v>
      </c>
      <c r="B6" s="46">
        <v>6.3</v>
      </c>
      <c r="C6" s="46">
        <v>13.7</v>
      </c>
      <c r="E6" s="43" t="s">
        <v>84</v>
      </c>
      <c r="F6" s="9">
        <f t="shared" ref="F6:G6" si="5">F5/F2</f>
        <v>1.3908145</v>
      </c>
      <c r="G6" s="9">
        <f t="shared" si="5"/>
        <v>1.035518978</v>
      </c>
    </row>
    <row r="7">
      <c r="A7" s="45">
        <v>1985.0</v>
      </c>
      <c r="B7" s="46">
        <v>20.4</v>
      </c>
      <c r="C7" s="46">
        <v>31.5</v>
      </c>
      <c r="E7" s="43" t="s">
        <v>94</v>
      </c>
      <c r="F7" s="9">
        <f>(F2-F9)/F5</f>
        <v>0.5373430184</v>
      </c>
      <c r="G7" s="9">
        <f>(G2-F9)/G5</f>
        <v>0.7272462229</v>
      </c>
    </row>
    <row r="8">
      <c r="A8" s="45">
        <v>1986.0</v>
      </c>
      <c r="B8" s="46">
        <v>18.1</v>
      </c>
      <c r="C8" s="46">
        <v>27.2</v>
      </c>
    </row>
    <row r="9">
      <c r="A9" s="45">
        <v>1987.0</v>
      </c>
      <c r="B9" s="46">
        <v>5.4</v>
      </c>
      <c r="C9" s="46">
        <v>2.8</v>
      </c>
      <c r="E9" s="43" t="s">
        <v>95</v>
      </c>
      <c r="F9" s="45">
        <v>3.7</v>
      </c>
    </row>
    <row r="10">
      <c r="A10" s="45">
        <v>1988.0</v>
      </c>
      <c r="B10" s="46">
        <v>16.8</v>
      </c>
      <c r="C10" s="46">
        <v>22.5</v>
      </c>
      <c r="E10" s="37"/>
      <c r="G10" s="53"/>
    </row>
    <row r="11">
      <c r="A11" s="45">
        <v>1989.0</v>
      </c>
      <c r="B11" s="46">
        <v>29.3</v>
      </c>
      <c r="C11" s="46">
        <v>24.7</v>
      </c>
      <c r="E11" s="32"/>
    </row>
    <row r="12">
      <c r="A12" s="45">
        <v>1990.0</v>
      </c>
      <c r="B12" s="46">
        <v>-8.1</v>
      </c>
      <c r="C12" s="46">
        <v>-5.2</v>
      </c>
    </row>
    <row r="13">
      <c r="A13" s="45">
        <v>1991.0</v>
      </c>
      <c r="B13" s="46">
        <v>32.6</v>
      </c>
      <c r="C13" s="46">
        <v>29.8</v>
      </c>
    </row>
    <row r="14">
      <c r="A14" s="45">
        <v>1992.0</v>
      </c>
      <c r="B14" s="46">
        <v>8.9</v>
      </c>
      <c r="C14" s="46">
        <v>12.4</v>
      </c>
    </row>
    <row r="15">
      <c r="A15" s="45">
        <v>1993.0</v>
      </c>
      <c r="B15" s="46">
        <v>10.5</v>
      </c>
      <c r="C15" s="46">
        <v>16.3</v>
      </c>
    </row>
    <row r="16">
      <c r="A16" s="45">
        <v>1994.0</v>
      </c>
      <c r="B16" s="46">
        <v>-1.2</v>
      </c>
      <c r="C16" s="46">
        <v>5.1</v>
      </c>
    </row>
    <row r="17">
      <c r="A17" s="45">
        <v>1995.0</v>
      </c>
      <c r="B17" s="46">
        <v>37.8</v>
      </c>
      <c r="C17" s="46">
        <v>34.6</v>
      </c>
    </row>
    <row r="18">
      <c r="A18" s="45">
        <v>1996.0</v>
      </c>
      <c r="B18" s="46">
        <v>22.4</v>
      </c>
      <c r="C18" s="46">
        <v>26.7</v>
      </c>
    </row>
    <row r="19">
      <c r="A19" s="45">
        <v>1997.0</v>
      </c>
      <c r="B19" s="45">
        <v>33.1</v>
      </c>
      <c r="C19" s="45">
        <v>28.2</v>
      </c>
    </row>
    <row r="20">
      <c r="A20" s="45">
        <v>1998.0</v>
      </c>
      <c r="B20" s="45">
        <v>39.5</v>
      </c>
      <c r="C20" s="45">
        <v>14.1</v>
      </c>
    </row>
    <row r="21">
      <c r="A21" s="45">
        <v>1999.0</v>
      </c>
      <c r="B21" s="45">
        <v>48.2</v>
      </c>
      <c r="C21" s="45">
        <v>7.2</v>
      </c>
    </row>
    <row r="22">
      <c r="A22" s="45">
        <v>2000.0</v>
      </c>
      <c r="B22" s="45">
        <v>-22.5</v>
      </c>
      <c r="C22" s="45">
        <v>5.6</v>
      </c>
    </row>
    <row r="23">
      <c r="A23" s="45">
        <v>2001.0</v>
      </c>
      <c r="B23" s="45">
        <v>-20.4</v>
      </c>
      <c r="C23" s="45">
        <v>14.9</v>
      </c>
    </row>
    <row r="24">
      <c r="A24" s="45">
        <v>2002.0</v>
      </c>
      <c r="B24" s="45">
        <v>-27.9</v>
      </c>
      <c r="C24" s="45">
        <v>-11.2</v>
      </c>
    </row>
    <row r="25">
      <c r="A25" s="45">
        <v>2003.0</v>
      </c>
      <c r="B25" s="45">
        <v>34.7</v>
      </c>
      <c r="C25" s="45">
        <v>37.1</v>
      </c>
    </row>
    <row r="26">
      <c r="A26" s="45">
        <v>2004.0</v>
      </c>
      <c r="B26" s="45">
        <v>15.6</v>
      </c>
      <c r="C26" s="45">
        <v>19.3</v>
      </c>
    </row>
    <row r="27">
      <c r="A27" s="45">
        <v>2005.0</v>
      </c>
      <c r="B27" s="45">
        <v>6.4</v>
      </c>
      <c r="C27" s="45">
        <v>12.7</v>
      </c>
    </row>
    <row r="28">
      <c r="A28" s="45">
        <v>2006.0</v>
      </c>
      <c r="B28" s="45">
        <v>11.8</v>
      </c>
      <c r="C28" s="45">
        <v>22.2</v>
      </c>
    </row>
    <row r="29">
      <c r="A29" s="45">
        <v>2007.0</v>
      </c>
      <c r="B29" s="45">
        <v>5.3</v>
      </c>
      <c r="C29" s="45">
        <v>1.0</v>
      </c>
    </row>
    <row r="30">
      <c r="A30" s="45">
        <v>2008.0</v>
      </c>
      <c r="B30" s="45">
        <v>-37.5</v>
      </c>
      <c r="C30" s="45">
        <v>-35.0</v>
      </c>
    </row>
    <row r="31">
      <c r="A31" s="45">
        <v>2009.0</v>
      </c>
      <c r="B31" s="45">
        <v>32.8</v>
      </c>
      <c r="C31" s="45">
        <v>36.7</v>
      </c>
    </row>
    <row r="32">
      <c r="A32" s="45">
        <v>2010.0</v>
      </c>
      <c r="B32" s="45">
        <v>16.1</v>
      </c>
      <c r="C32" s="45">
        <v>15.4</v>
      </c>
    </row>
    <row r="33">
      <c r="A33" s="45">
        <v>2011.0</v>
      </c>
      <c r="B33" s="45">
        <v>2.3</v>
      </c>
      <c r="C33" s="45">
        <v>-1.5</v>
      </c>
    </row>
    <row r="34">
      <c r="A34" s="45">
        <v>2012.0</v>
      </c>
      <c r="B34" s="45">
        <v>15.9</v>
      </c>
      <c r="C34" s="45">
        <v>16.2</v>
      </c>
    </row>
    <row r="35">
      <c r="A35" s="45">
        <v>2013.0</v>
      </c>
      <c r="B35" s="45">
        <v>35.2</v>
      </c>
      <c r="C35" s="45">
        <v>32.5</v>
      </c>
    </row>
    <row r="36">
      <c r="A36" s="45">
        <v>2014.0</v>
      </c>
      <c r="B36" s="45">
        <v>13.4</v>
      </c>
      <c r="C36" s="45">
        <v>13.0</v>
      </c>
    </row>
    <row r="37">
      <c r="A37" s="45">
        <v>2015.0</v>
      </c>
      <c r="B37" s="45">
        <v>5.8</v>
      </c>
      <c r="C37" s="45">
        <v>-1.1</v>
      </c>
    </row>
    <row r="38">
      <c r="A38" s="45">
        <v>2016.0</v>
      </c>
      <c r="B38" s="45">
        <v>7.4</v>
      </c>
      <c r="C38" s="45">
        <v>17.3</v>
      </c>
    </row>
    <row r="39">
      <c r="A39" s="45">
        <v>2017.0</v>
      </c>
      <c r="B39" s="45">
        <v>27.3</v>
      </c>
      <c r="C39" s="45">
        <v>15.2</v>
      </c>
    </row>
    <row r="40">
      <c r="A40" s="45">
        <v>2018.0</v>
      </c>
      <c r="B40" s="45">
        <v>-2.1</v>
      </c>
      <c r="C40" s="45">
        <v>-8.3</v>
      </c>
    </row>
    <row r="41">
      <c r="A41" s="45">
        <v>2019.0</v>
      </c>
      <c r="B41" s="45">
        <v>34.9</v>
      </c>
      <c r="C41" s="45">
        <v>26.3</v>
      </c>
    </row>
    <row r="42">
      <c r="A42" s="45">
        <v>2020.0</v>
      </c>
      <c r="B42" s="45">
        <v>38.5</v>
      </c>
      <c r="C42" s="45">
        <v>2.8</v>
      </c>
    </row>
    <row r="43">
      <c r="A43" s="45">
        <v>2021.0</v>
      </c>
      <c r="B43" s="45">
        <v>27.6</v>
      </c>
      <c r="C43" s="45">
        <v>25.1</v>
      </c>
    </row>
    <row r="44">
      <c r="A44" s="45">
        <v>2022.0</v>
      </c>
      <c r="B44" s="45">
        <v>-29.1</v>
      </c>
      <c r="C44" s="45">
        <v>-7.5</v>
      </c>
    </row>
    <row r="45">
      <c r="A45" s="45">
        <v>2023.0</v>
      </c>
      <c r="B45" s="45">
        <v>37.2</v>
      </c>
      <c r="C45" s="45">
        <v>11.9</v>
      </c>
    </row>
    <row r="46">
      <c r="A46" s="45">
        <v>2024.0</v>
      </c>
      <c r="B46" s="45">
        <v>28.4</v>
      </c>
      <c r="C46" s="45">
        <v>19.7</v>
      </c>
    </row>
  </sheetData>
  <mergeCells count="2">
    <mergeCell ref="E10:F10"/>
    <mergeCell ref="E11:G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25"/>
  </cols>
  <sheetData>
    <row r="1">
      <c r="A1" s="12" t="s">
        <v>0</v>
      </c>
      <c r="B1" s="19" t="s">
        <v>96</v>
      </c>
      <c r="C1" s="20" t="s">
        <v>97</v>
      </c>
    </row>
    <row r="2">
      <c r="A2" s="22" t="s">
        <v>7</v>
      </c>
      <c r="B2" s="58" t="s">
        <v>98</v>
      </c>
      <c r="C2" s="58" t="s">
        <v>99</v>
      </c>
    </row>
    <row r="3">
      <c r="A3" s="27" t="s">
        <v>8</v>
      </c>
      <c r="B3" s="58" t="s">
        <v>100</v>
      </c>
      <c r="C3" s="58" t="s">
        <v>101</v>
      </c>
      <c r="E3" s="59" t="s">
        <v>102</v>
      </c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>
      <c r="A4" s="22" t="s">
        <v>9</v>
      </c>
      <c r="B4" s="58" t="s">
        <v>103</v>
      </c>
      <c r="C4" s="58" t="s">
        <v>99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59"/>
      <c r="P4" s="60"/>
      <c r="Q4" s="60"/>
      <c r="R4" s="60"/>
      <c r="S4" s="60"/>
      <c r="T4" s="60"/>
      <c r="U4" s="60"/>
      <c r="V4" s="60"/>
      <c r="W4" s="60"/>
      <c r="X4" s="60"/>
    </row>
    <row r="5">
      <c r="A5" s="27" t="s">
        <v>10</v>
      </c>
      <c r="B5" s="58" t="s">
        <v>104</v>
      </c>
      <c r="C5" s="58" t="s">
        <v>99</v>
      </c>
      <c r="E5" s="61" t="s">
        <v>105</v>
      </c>
      <c r="F5" s="62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>
      <c r="A6" s="22" t="s">
        <v>11</v>
      </c>
      <c r="B6" s="58" t="s">
        <v>106</v>
      </c>
      <c r="C6" s="58" t="s">
        <v>107</v>
      </c>
      <c r="E6" s="59" t="s">
        <v>108</v>
      </c>
      <c r="F6" s="63">
        <v>0.225049</v>
      </c>
      <c r="G6" s="60"/>
      <c r="H6" s="60"/>
      <c r="I6" s="60"/>
      <c r="J6" s="60"/>
      <c r="K6" s="60"/>
      <c r="L6" s="60"/>
      <c r="M6" s="60"/>
      <c r="N6" s="60"/>
      <c r="O6" s="61"/>
      <c r="P6" s="62"/>
      <c r="Q6" s="60"/>
      <c r="R6" s="60"/>
      <c r="S6" s="60"/>
      <c r="T6" s="60"/>
      <c r="U6" s="60"/>
      <c r="V6" s="60"/>
      <c r="W6" s="60"/>
      <c r="X6" s="60"/>
    </row>
    <row r="7">
      <c r="A7" s="27" t="s">
        <v>13</v>
      </c>
      <c r="B7" s="58" t="s">
        <v>109</v>
      </c>
      <c r="C7" s="58" t="s">
        <v>109</v>
      </c>
      <c r="E7" s="59" t="s">
        <v>110</v>
      </c>
      <c r="F7" s="63">
        <v>0.050647</v>
      </c>
      <c r="G7" s="60"/>
      <c r="H7" s="60"/>
      <c r="I7" s="60"/>
      <c r="J7" s="60"/>
      <c r="K7" s="60"/>
      <c r="L7" s="60"/>
      <c r="M7" s="60"/>
      <c r="N7" s="60"/>
      <c r="O7" s="59"/>
      <c r="P7" s="63"/>
      <c r="Q7" s="60"/>
      <c r="R7" s="60"/>
      <c r="S7" s="60"/>
      <c r="T7" s="60"/>
      <c r="U7" s="60"/>
      <c r="V7" s="60"/>
      <c r="W7" s="60"/>
      <c r="X7" s="60"/>
    </row>
    <row r="8">
      <c r="A8" s="27" t="s">
        <v>14</v>
      </c>
      <c r="B8" s="58" t="s">
        <v>111</v>
      </c>
      <c r="C8" s="58" t="s">
        <v>107</v>
      </c>
      <c r="E8" s="59" t="s">
        <v>112</v>
      </c>
      <c r="F8" s="63">
        <v>0.03166</v>
      </c>
      <c r="G8" s="60"/>
      <c r="H8" s="60"/>
      <c r="I8" s="60"/>
      <c r="J8" s="60"/>
      <c r="K8" s="60"/>
      <c r="L8" s="60"/>
      <c r="M8" s="60"/>
      <c r="N8" s="60"/>
      <c r="O8" s="59"/>
      <c r="P8" s="63"/>
      <c r="Q8" s="60"/>
      <c r="R8" s="60"/>
      <c r="S8" s="60"/>
      <c r="T8" s="60"/>
      <c r="U8" s="60"/>
      <c r="V8" s="60"/>
      <c r="W8" s="60"/>
      <c r="X8" s="60"/>
    </row>
    <row r="9">
      <c r="A9" s="22" t="s">
        <v>15</v>
      </c>
      <c r="B9" s="58" t="s">
        <v>111</v>
      </c>
      <c r="C9" s="58" t="s">
        <v>104</v>
      </c>
      <c r="E9" s="59" t="s">
        <v>113</v>
      </c>
      <c r="F9" s="63">
        <v>0.044831</v>
      </c>
      <c r="G9" s="60"/>
      <c r="H9" s="60"/>
      <c r="I9" s="60"/>
      <c r="J9" s="60"/>
      <c r="K9" s="60"/>
      <c r="L9" s="60"/>
      <c r="M9" s="60"/>
      <c r="N9" s="60"/>
      <c r="O9" s="59"/>
      <c r="P9" s="63"/>
      <c r="Q9" s="60"/>
      <c r="R9" s="60"/>
      <c r="S9" s="60"/>
      <c r="T9" s="60"/>
      <c r="U9" s="60"/>
      <c r="V9" s="60"/>
      <c r="W9" s="60"/>
      <c r="X9" s="60"/>
    </row>
    <row r="10">
      <c r="A10" s="27" t="s">
        <v>16</v>
      </c>
      <c r="B10" s="58" t="s">
        <v>114</v>
      </c>
      <c r="C10" s="58" t="s">
        <v>115</v>
      </c>
      <c r="E10" s="64" t="s">
        <v>116</v>
      </c>
      <c r="F10" s="65">
        <v>52.0</v>
      </c>
      <c r="G10" s="60"/>
      <c r="H10" s="60"/>
      <c r="I10" s="60"/>
      <c r="J10" s="60"/>
      <c r="K10" s="60"/>
      <c r="L10" s="60"/>
      <c r="M10" s="60"/>
      <c r="N10" s="60"/>
      <c r="O10" s="59"/>
      <c r="P10" s="63"/>
      <c r="Q10" s="60"/>
      <c r="R10" s="60"/>
      <c r="S10" s="60"/>
      <c r="T10" s="60"/>
      <c r="U10" s="60"/>
      <c r="V10" s="60"/>
      <c r="W10" s="60"/>
      <c r="X10" s="60"/>
    </row>
    <row r="11">
      <c r="A11" s="22" t="s">
        <v>17</v>
      </c>
      <c r="B11" s="58" t="s">
        <v>99</v>
      </c>
      <c r="C11" s="58" t="s">
        <v>100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4"/>
      <c r="P11" s="65"/>
      <c r="Q11" s="60"/>
      <c r="R11" s="60"/>
      <c r="S11" s="60"/>
      <c r="T11" s="60"/>
      <c r="U11" s="60"/>
      <c r="V11" s="60"/>
      <c r="W11" s="60"/>
      <c r="X11" s="60"/>
    </row>
    <row r="12">
      <c r="A12" s="27" t="s">
        <v>18</v>
      </c>
      <c r="B12" s="58" t="s">
        <v>117</v>
      </c>
      <c r="C12" s="58" t="s">
        <v>114</v>
      </c>
      <c r="E12" s="59" t="s">
        <v>118</v>
      </c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>
      <c r="A13" s="22" t="s">
        <v>19</v>
      </c>
      <c r="B13" s="58" t="s">
        <v>103</v>
      </c>
      <c r="C13" s="58" t="s">
        <v>103</v>
      </c>
      <c r="E13" s="66"/>
      <c r="F13" s="61" t="s">
        <v>119</v>
      </c>
      <c r="G13" s="61" t="s">
        <v>120</v>
      </c>
      <c r="H13" s="61" t="s">
        <v>121</v>
      </c>
      <c r="I13" s="61" t="s">
        <v>122</v>
      </c>
      <c r="J13" s="61" t="s">
        <v>123</v>
      </c>
      <c r="K13" s="60"/>
      <c r="L13" s="60"/>
      <c r="M13" s="60"/>
      <c r="N13" s="60"/>
      <c r="O13" s="59"/>
      <c r="P13" s="60"/>
      <c r="Q13" s="60"/>
      <c r="R13" s="60"/>
      <c r="S13" s="60"/>
      <c r="T13" s="60"/>
      <c r="U13" s="60"/>
      <c r="V13" s="60"/>
      <c r="W13" s="60"/>
      <c r="X13" s="60"/>
    </row>
    <row r="14">
      <c r="A14" s="27" t="s">
        <v>20</v>
      </c>
      <c r="B14" s="58" t="s">
        <v>114</v>
      </c>
      <c r="C14" s="58" t="s">
        <v>124</v>
      </c>
      <c r="E14" s="59" t="s">
        <v>125</v>
      </c>
      <c r="F14" s="63">
        <v>1.0</v>
      </c>
      <c r="G14" s="63">
        <v>0.005361</v>
      </c>
      <c r="H14" s="63">
        <v>0.005361</v>
      </c>
      <c r="I14" s="63">
        <v>2.667459</v>
      </c>
      <c r="J14" s="63">
        <v>0.108702</v>
      </c>
      <c r="K14" s="60"/>
      <c r="L14" s="60"/>
      <c r="M14" s="60"/>
      <c r="N14" s="60"/>
      <c r="O14" s="66"/>
      <c r="P14" s="61"/>
      <c r="Q14" s="61"/>
      <c r="R14" s="61"/>
      <c r="S14" s="61"/>
      <c r="T14" s="61"/>
      <c r="U14" s="60"/>
      <c r="V14" s="60"/>
      <c r="W14" s="60"/>
      <c r="X14" s="60"/>
    </row>
    <row r="15">
      <c r="A15" s="22" t="s">
        <v>21</v>
      </c>
      <c r="B15" s="58" t="s">
        <v>100</v>
      </c>
      <c r="C15" s="58" t="s">
        <v>126</v>
      </c>
      <c r="E15" s="59" t="s">
        <v>127</v>
      </c>
      <c r="F15" s="63">
        <v>50.0</v>
      </c>
      <c r="G15" s="63">
        <v>0.100491</v>
      </c>
      <c r="H15" s="63">
        <v>0.00201</v>
      </c>
      <c r="I15" s="60"/>
      <c r="J15" s="60"/>
      <c r="K15" s="60"/>
      <c r="L15" s="60"/>
      <c r="M15" s="60"/>
      <c r="N15" s="60"/>
      <c r="O15" s="59"/>
      <c r="P15" s="63"/>
      <c r="Q15" s="63"/>
      <c r="R15" s="63"/>
      <c r="S15" s="63"/>
      <c r="T15" s="63"/>
      <c r="U15" s="60"/>
      <c r="V15" s="60"/>
      <c r="W15" s="60"/>
      <c r="X15" s="60"/>
    </row>
    <row r="16">
      <c r="A16" s="27" t="s">
        <v>22</v>
      </c>
      <c r="B16" s="58" t="s">
        <v>128</v>
      </c>
      <c r="C16" s="58" t="s">
        <v>99</v>
      </c>
      <c r="E16" s="64" t="s">
        <v>129</v>
      </c>
      <c r="F16" s="65">
        <v>51.0</v>
      </c>
      <c r="G16" s="65">
        <v>0.105852</v>
      </c>
      <c r="H16" s="67"/>
      <c r="I16" s="67"/>
      <c r="J16" s="67"/>
      <c r="K16" s="60"/>
      <c r="L16" s="60"/>
      <c r="M16" s="60"/>
      <c r="N16" s="60"/>
      <c r="O16" s="59"/>
      <c r="P16" s="63"/>
      <c r="Q16" s="63"/>
      <c r="R16" s="63"/>
      <c r="S16" s="60"/>
      <c r="T16" s="60"/>
      <c r="U16" s="60"/>
      <c r="V16" s="60"/>
      <c r="W16" s="60"/>
      <c r="X16" s="60"/>
    </row>
    <row r="17">
      <c r="A17" s="22" t="s">
        <v>23</v>
      </c>
      <c r="B17" s="58" t="s">
        <v>109</v>
      </c>
      <c r="C17" s="58" t="s">
        <v>109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4"/>
      <c r="P17" s="65"/>
      <c r="Q17" s="65"/>
      <c r="R17" s="67"/>
      <c r="S17" s="67"/>
      <c r="T17" s="67"/>
      <c r="U17" s="60"/>
      <c r="V17" s="60"/>
      <c r="W17" s="60"/>
      <c r="X17" s="60"/>
    </row>
    <row r="18">
      <c r="A18" s="27" t="s">
        <v>24</v>
      </c>
      <c r="B18" s="58" t="s">
        <v>115</v>
      </c>
      <c r="C18" s="58" t="s">
        <v>98</v>
      </c>
      <c r="E18" s="66"/>
      <c r="F18" s="61" t="s">
        <v>130</v>
      </c>
      <c r="G18" s="61" t="s">
        <v>113</v>
      </c>
      <c r="H18" s="61" t="s">
        <v>131</v>
      </c>
      <c r="I18" s="61" t="s">
        <v>132</v>
      </c>
      <c r="J18" s="61" t="s">
        <v>133</v>
      </c>
      <c r="K18" s="61" t="s">
        <v>134</v>
      </c>
      <c r="L18" s="61" t="s">
        <v>135</v>
      </c>
      <c r="M18" s="61" t="s">
        <v>136</v>
      </c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>
      <c r="A19" s="22" t="s">
        <v>25</v>
      </c>
      <c r="B19" s="58" t="s">
        <v>137</v>
      </c>
      <c r="C19" s="58" t="s">
        <v>114</v>
      </c>
      <c r="E19" s="59" t="s">
        <v>138</v>
      </c>
      <c r="F19" s="63">
        <v>-0.00614</v>
      </c>
      <c r="G19" s="63">
        <v>0.006979</v>
      </c>
      <c r="H19" s="63">
        <v>-0.87993</v>
      </c>
      <c r="I19" s="63">
        <v>0.383106</v>
      </c>
      <c r="J19" s="63">
        <v>-0.02016</v>
      </c>
      <c r="K19" s="63">
        <v>0.007877</v>
      </c>
      <c r="L19" s="63">
        <v>-0.02016</v>
      </c>
      <c r="M19" s="63">
        <v>0.007877</v>
      </c>
      <c r="N19" s="60"/>
      <c r="O19" s="66"/>
      <c r="P19" s="61"/>
      <c r="Q19" s="61"/>
      <c r="R19" s="61"/>
      <c r="S19" s="61"/>
      <c r="T19" s="61"/>
      <c r="U19" s="61"/>
      <c r="V19" s="61"/>
      <c r="W19" s="61"/>
      <c r="X19" s="60"/>
    </row>
    <row r="20">
      <c r="A20" s="27" t="s">
        <v>26</v>
      </c>
      <c r="B20" s="58" t="s">
        <v>103</v>
      </c>
      <c r="C20" s="58" t="s">
        <v>100</v>
      </c>
      <c r="E20" s="64" t="s">
        <v>139</v>
      </c>
      <c r="F20" s="65">
        <v>0.218975</v>
      </c>
      <c r="G20" s="65">
        <v>0.134074</v>
      </c>
      <c r="H20" s="65">
        <v>1.633236</v>
      </c>
      <c r="I20" s="65">
        <v>0.108702</v>
      </c>
      <c r="J20" s="65">
        <v>-0.05032</v>
      </c>
      <c r="K20" s="65">
        <v>0.488272</v>
      </c>
      <c r="L20" s="65">
        <v>-0.05032</v>
      </c>
      <c r="M20" s="65">
        <v>0.488272</v>
      </c>
      <c r="N20" s="60"/>
      <c r="O20" s="59"/>
      <c r="P20" s="63"/>
      <c r="Q20" s="63"/>
      <c r="R20" s="63"/>
      <c r="S20" s="63"/>
      <c r="T20" s="63"/>
      <c r="U20" s="63"/>
      <c r="V20" s="63"/>
      <c r="W20" s="63"/>
      <c r="X20" s="60"/>
    </row>
    <row r="21">
      <c r="A21" s="27" t="s">
        <v>27</v>
      </c>
      <c r="B21" s="58" t="s">
        <v>117</v>
      </c>
      <c r="C21" s="58" t="s">
        <v>99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4"/>
      <c r="P21" s="65"/>
      <c r="Q21" s="65"/>
      <c r="R21" s="65"/>
      <c r="S21" s="65"/>
      <c r="T21" s="65"/>
      <c r="U21" s="65"/>
      <c r="V21" s="65"/>
      <c r="W21" s="65"/>
      <c r="X21" s="60"/>
    </row>
    <row r="22">
      <c r="A22" s="22" t="s">
        <v>28</v>
      </c>
      <c r="B22" s="58" t="s">
        <v>137</v>
      </c>
      <c r="C22" s="58" t="s">
        <v>140</v>
      </c>
      <c r="E22" s="45" t="s">
        <v>141</v>
      </c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>
      <c r="A23" s="27" t="s">
        <v>29</v>
      </c>
      <c r="B23" s="58" t="s">
        <v>106</v>
      </c>
      <c r="C23" s="58" t="s">
        <v>115</v>
      </c>
      <c r="E23" s="45" t="s">
        <v>142</v>
      </c>
    </row>
    <row r="24">
      <c r="A24" s="22" t="s">
        <v>30</v>
      </c>
      <c r="B24" s="58" t="s">
        <v>117</v>
      </c>
      <c r="C24" s="58" t="s">
        <v>114</v>
      </c>
    </row>
    <row r="25">
      <c r="A25" s="27" t="s">
        <v>31</v>
      </c>
      <c r="B25" s="58" t="s">
        <v>99</v>
      </c>
      <c r="C25" s="58" t="s">
        <v>115</v>
      </c>
      <c r="E25" s="37"/>
    </row>
    <row r="26">
      <c r="A26" s="22" t="s">
        <v>32</v>
      </c>
      <c r="B26" s="58" t="s">
        <v>114</v>
      </c>
      <c r="C26" s="58" t="s">
        <v>99</v>
      </c>
      <c r="E26" s="32"/>
    </row>
    <row r="27">
      <c r="A27" s="27" t="s">
        <v>33</v>
      </c>
      <c r="B27" s="58" t="s">
        <v>99</v>
      </c>
      <c r="C27" s="58" t="s">
        <v>100</v>
      </c>
    </row>
    <row r="28">
      <c r="A28" s="22" t="s">
        <v>34</v>
      </c>
      <c r="B28" s="58" t="s">
        <v>99</v>
      </c>
      <c r="C28" s="58" t="s">
        <v>137</v>
      </c>
    </row>
    <row r="29">
      <c r="A29" s="27" t="s">
        <v>35</v>
      </c>
      <c r="B29" s="58" t="s">
        <v>137</v>
      </c>
      <c r="C29" s="58" t="s">
        <v>137</v>
      </c>
    </row>
    <row r="30">
      <c r="A30" s="22" t="s">
        <v>36</v>
      </c>
      <c r="B30" s="58" t="s">
        <v>98</v>
      </c>
      <c r="C30" s="58" t="s">
        <v>143</v>
      </c>
    </row>
    <row r="31">
      <c r="A31" s="27" t="s">
        <v>37</v>
      </c>
      <c r="B31" s="58" t="s">
        <v>114</v>
      </c>
      <c r="C31" s="58" t="s">
        <v>104</v>
      </c>
    </row>
    <row r="32">
      <c r="A32" s="22" t="s">
        <v>38</v>
      </c>
      <c r="B32" s="58" t="s">
        <v>106</v>
      </c>
      <c r="C32" s="58" t="s">
        <v>99</v>
      </c>
    </row>
    <row r="33">
      <c r="A33" s="27" t="s">
        <v>39</v>
      </c>
      <c r="B33" s="58" t="s">
        <v>100</v>
      </c>
      <c r="C33" s="58" t="s">
        <v>115</v>
      </c>
    </row>
    <row r="34">
      <c r="A34" s="22" t="s">
        <v>40</v>
      </c>
      <c r="B34" s="58" t="s">
        <v>98</v>
      </c>
      <c r="C34" s="58" t="s">
        <v>99</v>
      </c>
    </row>
    <row r="35">
      <c r="A35" s="22" t="s">
        <v>41</v>
      </c>
      <c r="B35" s="58" t="s">
        <v>104</v>
      </c>
      <c r="C35" s="58" t="s">
        <v>103</v>
      </c>
    </row>
    <row r="36">
      <c r="A36" s="27" t="s">
        <v>42</v>
      </c>
      <c r="B36" s="58" t="s">
        <v>104</v>
      </c>
      <c r="C36" s="58" t="s">
        <v>100</v>
      </c>
    </row>
    <row r="37">
      <c r="A37" s="22" t="s">
        <v>43</v>
      </c>
      <c r="B37" s="58" t="s">
        <v>100</v>
      </c>
      <c r="C37" s="58" t="s">
        <v>100</v>
      </c>
    </row>
    <row r="38">
      <c r="A38" s="27" t="s">
        <v>44</v>
      </c>
      <c r="B38" s="58" t="s">
        <v>98</v>
      </c>
      <c r="C38" s="58" t="s">
        <v>137</v>
      </c>
    </row>
    <row r="39">
      <c r="A39" s="22" t="s">
        <v>45</v>
      </c>
      <c r="B39" s="58" t="s">
        <v>137</v>
      </c>
      <c r="C39" s="58" t="s">
        <v>104</v>
      </c>
    </row>
    <row r="40">
      <c r="A40" s="27" t="s">
        <v>46</v>
      </c>
      <c r="B40" s="58" t="s">
        <v>140</v>
      </c>
      <c r="C40" s="58" t="s">
        <v>114</v>
      </c>
    </row>
    <row r="41">
      <c r="A41" s="22" t="s">
        <v>47</v>
      </c>
      <c r="B41" s="58" t="s">
        <v>137</v>
      </c>
      <c r="C41" s="58" t="s">
        <v>103</v>
      </c>
    </row>
    <row r="42">
      <c r="A42" s="27" t="s">
        <v>48</v>
      </c>
      <c r="B42" s="58" t="s">
        <v>115</v>
      </c>
      <c r="C42" s="58" t="s">
        <v>104</v>
      </c>
    </row>
    <row r="43">
      <c r="A43" s="22" t="s">
        <v>49</v>
      </c>
      <c r="B43" s="58" t="s">
        <v>107</v>
      </c>
      <c r="C43" s="58" t="s">
        <v>115</v>
      </c>
    </row>
    <row r="44">
      <c r="A44" s="27" t="s">
        <v>50</v>
      </c>
      <c r="B44" s="58" t="s">
        <v>115</v>
      </c>
      <c r="C44" s="58" t="s">
        <v>109</v>
      </c>
      <c r="E44" s="68"/>
    </row>
    <row r="45">
      <c r="A45" s="22" t="s">
        <v>51</v>
      </c>
      <c r="B45" s="58" t="s">
        <v>99</v>
      </c>
      <c r="C45" s="58" t="s">
        <v>143</v>
      </c>
      <c r="E45" s="69"/>
    </row>
    <row r="46">
      <c r="A46" s="27" t="s">
        <v>52</v>
      </c>
      <c r="B46" s="58" t="s">
        <v>114</v>
      </c>
      <c r="C46" s="58" t="s">
        <v>117</v>
      </c>
      <c r="E46" s="68"/>
    </row>
    <row r="47">
      <c r="A47" s="22" t="s">
        <v>53</v>
      </c>
      <c r="B47" s="58" t="s">
        <v>124</v>
      </c>
      <c r="C47" s="58" t="s">
        <v>144</v>
      </c>
      <c r="E47" s="69"/>
    </row>
    <row r="48">
      <c r="A48" s="22" t="s">
        <v>54</v>
      </c>
      <c r="B48" s="58" t="s">
        <v>114</v>
      </c>
      <c r="C48" s="58" t="s">
        <v>114</v>
      </c>
      <c r="E48" s="68"/>
    </row>
    <row r="49">
      <c r="A49" s="27" t="s">
        <v>55</v>
      </c>
      <c r="B49" s="58" t="s">
        <v>145</v>
      </c>
      <c r="C49" s="58" t="s">
        <v>100</v>
      </c>
      <c r="E49" s="69"/>
    </row>
    <row r="50">
      <c r="A50" s="22" t="s">
        <v>56</v>
      </c>
      <c r="B50" s="58" t="s">
        <v>104</v>
      </c>
      <c r="C50" s="58" t="s">
        <v>100</v>
      </c>
      <c r="E50" s="68"/>
    </row>
    <row r="51">
      <c r="A51" s="27" t="s">
        <v>57</v>
      </c>
      <c r="B51" s="58" t="s">
        <v>100</v>
      </c>
      <c r="C51" s="58" t="s">
        <v>124</v>
      </c>
      <c r="E51" s="69"/>
    </row>
    <row r="52">
      <c r="A52" s="22" t="s">
        <v>58</v>
      </c>
      <c r="B52" s="58" t="s">
        <v>124</v>
      </c>
      <c r="C52" s="58" t="s">
        <v>114</v>
      </c>
      <c r="E52" s="68"/>
    </row>
    <row r="53">
      <c r="A53" s="27" t="s">
        <v>59</v>
      </c>
      <c r="B53" s="58" t="s">
        <v>137</v>
      </c>
      <c r="C53" s="58" t="s">
        <v>140</v>
      </c>
      <c r="E53" s="69"/>
    </row>
    <row r="54">
      <c r="A54" s="22" t="s">
        <v>60</v>
      </c>
      <c r="E54" s="68"/>
    </row>
    <row r="55">
      <c r="A55" s="34"/>
      <c r="E55" s="68"/>
    </row>
    <row r="56">
      <c r="A56" s="34"/>
      <c r="E56" s="69"/>
    </row>
    <row r="57">
      <c r="A57" s="34"/>
      <c r="E57" s="68"/>
    </row>
    <row r="58">
      <c r="A58" s="34"/>
      <c r="E58" s="68"/>
    </row>
    <row r="59">
      <c r="A59" s="34"/>
      <c r="E59" s="68"/>
    </row>
    <row r="60">
      <c r="A60" s="34"/>
      <c r="E60" s="69"/>
    </row>
    <row r="61">
      <c r="A61" s="34"/>
      <c r="E61" s="68"/>
    </row>
    <row r="62">
      <c r="A62" s="34"/>
      <c r="E62" s="69"/>
    </row>
    <row r="63">
      <c r="A63" s="34"/>
      <c r="E63" s="68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mergeCells count="2">
    <mergeCell ref="E5:F5"/>
    <mergeCell ref="O6:P6"/>
  </mergeCells>
  <hyperlinks>
    <hyperlink r:id="rId1" ref="B1"/>
    <hyperlink r:id="rId2" ref="C1"/>
  </hyperlinks>
  <drawing r:id="rId3"/>
</worksheet>
</file>