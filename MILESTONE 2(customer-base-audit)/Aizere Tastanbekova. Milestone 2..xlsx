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segmentation analysis" sheetId="1" r:id="rId5"/>
    <sheet state="visible" name="Cohort table" sheetId="2" r:id="rId6"/>
    <sheet state="visible" name="Cohort analysis" sheetId="3" r:id="rId7"/>
    <sheet state="visible" name="Decile analysis" sheetId="4" r:id="rId8"/>
    <sheet state="visible" name="3 cohorts comparing" sheetId="5" r:id="rId9"/>
  </sheets>
  <definedNames/>
  <calcPr/>
</workbook>
</file>

<file path=xl/sharedStrings.xml><?xml version="1.0" encoding="utf-8"?>
<sst xmlns="http://schemas.openxmlformats.org/spreadsheetml/2006/main" count="170" uniqueCount="43">
  <si>
    <t>Customer Segment</t>
  </si>
  <si>
    <t>Number of Customers</t>
  </si>
  <si>
    <t>Total Purchases</t>
  </si>
  <si>
    <t>Total Revenue</t>
  </si>
  <si>
    <t>Profit</t>
  </si>
  <si>
    <t>Total Transactions</t>
  </si>
  <si>
    <t>Revenue</t>
  </si>
  <si>
    <t>Average revenue per customer</t>
  </si>
  <si>
    <t>Average profit per customer</t>
  </si>
  <si>
    <t>AOF Average order frequency</t>
  </si>
  <si>
    <t xml:space="preserve">Order Value </t>
  </si>
  <si>
    <t>Average Margin</t>
  </si>
  <si>
    <t>TOTAL</t>
  </si>
  <si>
    <t>Quarter</t>
  </si>
  <si>
    <t>Total purchases</t>
  </si>
  <si>
    <t>Percentage of active customers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</si>
  <si>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</si>
  <si>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</si>
  <si>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</si>
  <si>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</si>
  <si>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</si>
  <si>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</si>
  <si>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</si>
  <si>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</si>
  <si>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</si>
  <si>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</si>
  <si>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</si>
  <si>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</si>
  <si>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</si>
  <si>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</si>
  <si>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</si>
  <si>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</si>
  <si>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Percentage of purchases</t>
  </si>
  <si>
    <t>Percentage or revenue</t>
  </si>
  <si>
    <t>Percentage of profit</t>
  </si>
  <si>
    <t>Decile</t>
  </si>
  <si>
    <t>% Customers</t>
  </si>
  <si>
    <t>% Purchases</t>
  </si>
  <si>
    <t>% Revenue</t>
  </si>
  <si>
    <t>% Profit</t>
  </si>
  <si>
    <t>Q3 2021</t>
  </si>
  <si>
    <t>Q4 2021</t>
  </si>
  <si>
    <t>Q4 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</si>
</sst>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$-409]#,##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1.0"/>
      <color rgb="FFC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  <bottom style="double">
        <color rgb="FF000000"/>
      </bottom>
    </border>
    <border>
      <top style="thin">
        <color rgb="FF000000"/>
      </top>
    </border>
    <border>
      <bottom style="double">
        <color theme="1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1"/>
    </xf>
    <xf borderId="0" fillId="2" fontId="1" numFmtId="0" xfId="0" applyAlignment="1" applyFont="1">
      <alignment horizontal="right" shrinkToFit="0" vertical="bottom" wrapText="1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1" fillId="2" fontId="1" numFmtId="0" xfId="0" applyAlignment="1" applyBorder="1" applyFont="1">
      <alignment horizontal="right" vertical="bottom"/>
    </xf>
    <xf borderId="1" fillId="2" fontId="1" numFmtId="3" xfId="0" applyAlignment="1" applyBorder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3" fontId="2" numFmtId="4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165" xfId="0" applyAlignment="1" applyFont="1" applyNumberFormat="1">
      <alignment horizontal="right" vertical="bottom"/>
    </xf>
    <xf borderId="0" fillId="3" fontId="2" numFmtId="9" xfId="0" applyAlignment="1" applyFont="1" applyNumberFormat="1">
      <alignment horizontal="right" vertical="bottom"/>
    </xf>
    <xf borderId="2" fillId="2" fontId="1" numFmtId="0" xfId="0" applyAlignment="1" applyBorder="1" applyFont="1">
      <alignment horizontal="right" vertical="bottom"/>
    </xf>
    <xf borderId="2" fillId="2" fontId="1" numFmtId="3" xfId="0" applyAlignment="1" applyBorder="1" applyFont="1" applyNumberFormat="1">
      <alignment horizontal="right" vertical="bottom"/>
    </xf>
    <xf borderId="0" fillId="4" fontId="2" numFmtId="4" xfId="0" applyAlignment="1" applyFill="1" applyFont="1" applyNumberFormat="1">
      <alignment horizontal="right" vertical="bottom"/>
    </xf>
    <xf borderId="0" fillId="4" fontId="2" numFmtId="164" xfId="0" applyAlignment="1" applyFont="1" applyNumberFormat="1">
      <alignment horizontal="right" vertical="bottom"/>
    </xf>
    <xf borderId="0" fillId="4" fontId="2" numFmtId="165" xfId="0" applyAlignment="1" applyFont="1" applyNumberFormat="1">
      <alignment horizontal="right" vertical="bottom"/>
    </xf>
    <xf borderId="0" fillId="4" fontId="2" numFmtId="9" xfId="0" applyAlignment="1" applyFont="1" applyNumberFormat="1">
      <alignment horizontal="right" vertical="bottom"/>
    </xf>
    <xf borderId="0" fillId="5" fontId="2" numFmtId="4" xfId="0" applyAlignment="1" applyFill="1" applyFont="1" applyNumberFormat="1">
      <alignment horizontal="right" vertical="bottom"/>
    </xf>
    <xf borderId="0" fillId="5" fontId="2" numFmtId="164" xfId="0" applyAlignment="1" applyFont="1" applyNumberFormat="1">
      <alignment horizontal="right" vertical="bottom"/>
    </xf>
    <xf borderId="0" fillId="5" fontId="2" numFmtId="165" xfId="0" applyAlignment="1" applyFont="1" applyNumberFormat="1">
      <alignment horizontal="right" vertical="bottom"/>
    </xf>
    <xf borderId="0" fillId="5" fontId="2" numFmtId="9" xfId="0" applyAlignment="1" applyFont="1" applyNumberFormat="1">
      <alignment horizontal="right" vertical="bottom"/>
    </xf>
    <xf borderId="3" fillId="6" fontId="1" numFmtId="0" xfId="0" applyAlignment="1" applyBorder="1" applyFill="1" applyFont="1">
      <alignment vertical="bottom"/>
    </xf>
    <xf borderId="3" fillId="6" fontId="1" numFmtId="3" xfId="0" applyAlignment="1" applyBorder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7" fontId="3" numFmtId="0" xfId="0" applyAlignment="1" applyFill="1" applyFont="1">
      <alignment readingOrder="0"/>
    </xf>
    <xf borderId="0" fillId="7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2" fontId="1" numFmtId="0" xfId="0" applyAlignment="1" applyBorder="1" applyFont="1">
      <alignment horizontal="right" shrinkToFit="0" vertical="bottom" wrapText="1"/>
    </xf>
    <xf borderId="1" fillId="2" fontId="1" numFmtId="0" xfId="0" applyAlignment="1" applyBorder="1" applyFont="1">
      <alignment horizontal="right" readingOrder="0" shrinkToFit="0" vertical="bottom" wrapText="1"/>
    </xf>
    <xf borderId="0" fillId="2" fontId="2" numFmtId="0" xfId="0" applyAlignment="1" applyFont="1">
      <alignment readingOrder="0" shrinkToFit="0" vertical="bottom" wrapText="1"/>
    </xf>
    <xf borderId="0" fillId="2" fontId="2" numFmtId="10" xfId="0" applyAlignment="1" applyFont="1" applyNumberFormat="1">
      <alignment horizontal="right" vertical="bottom"/>
    </xf>
    <xf borderId="3" fillId="2" fontId="1" numFmtId="0" xfId="0" applyAlignment="1" applyBorder="1" applyFont="1">
      <alignment horizontal="right" vertical="bottom"/>
    </xf>
    <xf borderId="3" fillId="2" fontId="1" numFmtId="3" xfId="0" applyAlignment="1" applyBorder="1" applyFont="1" applyNumberFormat="1">
      <alignment horizontal="right" vertical="bottom"/>
    </xf>
    <xf borderId="1" fillId="7" fontId="1" numFmtId="0" xfId="0" applyAlignment="1" applyBorder="1" applyFont="1">
      <alignment horizontal="right" shrinkToFit="0" vertical="bottom" wrapText="1"/>
    </xf>
    <xf borderId="1" fillId="7" fontId="1" numFmtId="0" xfId="0" applyAlignment="1" applyBorder="1" applyFont="1">
      <alignment horizontal="right" readingOrder="0" shrinkToFit="0" vertical="bottom" wrapText="1"/>
    </xf>
    <xf borderId="0" fillId="7" fontId="2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2" fillId="7" fontId="1" numFmtId="0" xfId="0" applyAlignment="1" applyBorder="1" applyFont="1">
      <alignment horizontal="right" vertical="bottom"/>
    </xf>
    <xf borderId="2" fillId="7" fontId="1" numFmtId="3" xfId="0" applyAlignment="1" applyBorder="1" applyFont="1" applyNumberFormat="1">
      <alignment horizontal="right" vertical="bottom"/>
    </xf>
    <xf borderId="0" fillId="7" fontId="2" numFmtId="10" xfId="0" applyAlignment="1" applyFont="1" applyNumberFormat="1">
      <alignment horizontal="right" vertical="bottom"/>
    </xf>
    <xf borderId="0" fillId="0" fontId="5" numFmtId="10" xfId="0" applyFont="1" applyNumberFormat="1"/>
    <xf borderId="1" fillId="7" fontId="1" numFmtId="0" xfId="0" applyAlignment="1" applyBorder="1" applyFont="1">
      <alignment horizontal="right" vertical="bottom"/>
    </xf>
    <xf borderId="1" fillId="7" fontId="1" numFmtId="3" xfId="0" applyAlignment="1" applyBorder="1" applyFont="1" applyNumberFormat="1">
      <alignment horizontal="right" vertical="bottom"/>
    </xf>
    <xf borderId="3" fillId="7" fontId="1" numFmtId="0" xfId="0" applyAlignment="1" applyBorder="1" applyFont="1">
      <alignment horizontal="right" vertical="bottom"/>
    </xf>
    <xf borderId="3" fillId="7" fontId="1" numFmtId="3" xfId="0" applyAlignment="1" applyBorder="1" applyFont="1" applyNumberFormat="1">
      <alignment horizontal="right" vertical="bottom"/>
    </xf>
    <xf borderId="0" fillId="7" fontId="4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4" fillId="0" fontId="1" numFmtId="0" xfId="0" applyAlignment="1" applyBorder="1" applyFont="1">
      <alignment horizontal="right" vertical="bottom"/>
    </xf>
    <xf borderId="4" fillId="0" fontId="1" numFmtId="9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horizontal="right" readingOrder="0" vertical="bottom"/>
    </xf>
    <xf borderId="1" fillId="2" fontId="2" numFmtId="0" xfId="0" applyAlignment="1" applyBorder="1" applyFont="1">
      <alignment vertical="bottom"/>
    </xf>
    <xf borderId="0" fillId="0" fontId="6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1" numFmtId="4" xfId="0" applyAlignment="1" applyBorder="1" applyFont="1" applyNumberFormat="1">
      <alignment horizontal="right" shrinkToFit="0" vertical="bottom" wrapText="1"/>
    </xf>
    <xf borderId="1" fillId="2" fontId="1" numFmtId="4" xfId="0" applyAlignment="1" applyBorder="1" applyFont="1" applyNumberFormat="1">
      <alignment horizontal="right" vertical="bottom"/>
    </xf>
    <xf borderId="1" fillId="2" fontId="2" numFmtId="3" xfId="0" applyAlignment="1" applyBorder="1" applyFont="1" applyNumberFormat="1">
      <alignment vertical="bottom"/>
    </xf>
    <xf borderId="3" fillId="2" fontId="1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retention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'Cohort analysis'!$B$20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analysis'!$A$21:$A$36</c:f>
            </c:strRef>
          </c:cat>
          <c:val>
            <c:numRef>
              <c:f>'Cohort analysis'!$B$21:$B$36</c:f>
              <c:numCache/>
            </c:numRef>
          </c:val>
          <c:smooth val="0"/>
        </c:ser>
        <c:ser>
          <c:idx val="1"/>
          <c:order val="1"/>
          <c:tx>
            <c:strRef>
              <c:f>'Cohort analysis'!$C$20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'Cohort analysis'!$A$21:$A$36</c:f>
            </c:strRef>
          </c:cat>
          <c:val>
            <c:numRef>
              <c:f>'Cohort analysis'!$C$21:$C$36</c:f>
              <c:numCache/>
            </c:numRef>
          </c:val>
          <c:smooth val="0"/>
        </c:ser>
        <c:ser>
          <c:idx val="2"/>
          <c:order val="2"/>
          <c:tx>
            <c:strRef>
              <c:f>'Cohort analysis'!$D$20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'Cohort analysis'!$A$21:$A$36</c:f>
            </c:strRef>
          </c:cat>
          <c:val>
            <c:numRef>
              <c:f>'Cohort analysis'!$D$21:$D$36</c:f>
              <c:numCache/>
            </c:numRef>
          </c:val>
          <c:smooth val="0"/>
        </c:ser>
        <c:ser>
          <c:idx val="3"/>
          <c:order val="3"/>
          <c:tx>
            <c:strRef>
              <c:f>'Cohort analysis'!$E$20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'Cohort analysis'!$A$21:$A$36</c:f>
            </c:strRef>
          </c:cat>
          <c:val>
            <c:numRef>
              <c:f>'Cohort analysis'!$E$21:$E$36</c:f>
              <c:numCache/>
            </c:numRef>
          </c:val>
          <c:smooth val="0"/>
        </c:ser>
        <c:axId val="1442693701"/>
        <c:axId val="639192850"/>
      </c:lineChart>
      <c:catAx>
        <c:axId val="1442693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9192850"/>
      </c:catAx>
      <c:valAx>
        <c:axId val="639192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2693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 value concentration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'Decile analysis'!$B$1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'Decile analysis'!$A$2:$A$11</c:f>
            </c:strRef>
          </c:cat>
          <c:val>
            <c:numRef>
              <c:f>'Decile analysis'!$B$2:$B$11</c:f>
              <c:numCache/>
            </c:numRef>
          </c:val>
          <c:smooth val="0"/>
        </c:ser>
        <c:ser>
          <c:idx val="1"/>
          <c:order val="1"/>
          <c:tx>
            <c:strRef>
              <c:f>'Decile analysis'!$C$1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'Decile analysis'!$A$2:$A$11</c:f>
            </c:strRef>
          </c:cat>
          <c:val>
            <c:numRef>
              <c:f>'Decile analysis'!$C$2:$C$11</c:f>
              <c:numCache/>
            </c:numRef>
          </c:val>
          <c:smooth val="0"/>
        </c:ser>
        <c:ser>
          <c:idx val="2"/>
          <c:order val="2"/>
          <c:tx>
            <c:strRef>
              <c:f>'Decile analysis'!$D$1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'Decile analysis'!$A$2:$A$11</c:f>
            </c:strRef>
          </c:cat>
          <c:val>
            <c:numRef>
              <c:f>'Decile analysis'!$D$2:$D$11</c:f>
              <c:numCache/>
            </c:numRef>
          </c:val>
          <c:smooth val="0"/>
        </c:ser>
        <c:ser>
          <c:idx val="3"/>
          <c:order val="3"/>
          <c:tx>
            <c:strRef>
              <c:f>'Decile analysis'!$E$1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'Decile analysis'!$A$2:$A$11</c:f>
            </c:strRef>
          </c:cat>
          <c:val>
            <c:numRef>
              <c:f>'Decile analysis'!$E$2:$E$11</c:f>
              <c:numCache/>
            </c:numRef>
          </c:val>
          <c:smooth val="0"/>
        </c:ser>
        <c:axId val="309824461"/>
        <c:axId val="466220257"/>
      </c:lineChart>
      <c:catAx>
        <c:axId val="3098244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220257"/>
      </c:catAx>
      <c:valAx>
        <c:axId val="466220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98244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Numbers of Customers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 cohorts comparing'!$A$19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 cohorts comparing'!$B$18</c:f>
            </c:strRef>
          </c:cat>
          <c:val>
            <c:numRef>
              <c:f>'3 cohorts comparing'!$B$19</c:f>
              <c:numCache/>
            </c:numRef>
          </c:val>
        </c:ser>
        <c:ser>
          <c:idx val="1"/>
          <c:order val="1"/>
          <c:tx>
            <c:strRef>
              <c:f>'3 cohorts comparing'!$A$20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'3 cohorts comparing'!$B$18</c:f>
            </c:strRef>
          </c:cat>
          <c:val>
            <c:numRef>
              <c:f>'3 cohorts comparing'!$B$20</c:f>
              <c:numCache/>
            </c:numRef>
          </c:val>
        </c:ser>
        <c:ser>
          <c:idx val="2"/>
          <c:order val="2"/>
          <c:tx>
            <c:strRef>
              <c:f>'3 cohorts comparing'!$A$21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'3 cohorts comparing'!$B$18</c:f>
            </c:strRef>
          </c:cat>
          <c:val>
            <c:numRef>
              <c:f>'3 cohorts comparing'!$B$21</c:f>
              <c:numCache/>
            </c:numRef>
          </c:val>
        </c:ser>
        <c:axId val="528144531"/>
        <c:axId val="1852986925"/>
      </c:barChart>
      <c:catAx>
        <c:axId val="528144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986925"/>
      </c:catAx>
      <c:valAx>
        <c:axId val="1852986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144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purchases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 cohorts comparing'!$B$23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 cohorts comparing'!$A$24:$A$26</c:f>
            </c:strRef>
          </c:cat>
          <c:val>
            <c:numRef>
              <c:f>'3 cohorts comparing'!$B$24:$B$26</c:f>
              <c:numCache/>
            </c:numRef>
          </c:val>
        </c:ser>
        <c:axId val="1893778537"/>
        <c:axId val="1138698172"/>
      </c:barChart>
      <c:catAx>
        <c:axId val="1893778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698172"/>
      </c:catAx>
      <c:valAx>
        <c:axId val="11386981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purchases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3778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 cohorts comparing'!$B$28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 cohorts comparing'!$A$29:$A$31</c:f>
            </c:strRef>
          </c:cat>
          <c:val>
            <c:numRef>
              <c:f>'3 cohorts comparing'!$B$29:$B$31</c:f>
              <c:numCache/>
            </c:numRef>
          </c:val>
        </c:ser>
        <c:axId val="1697208020"/>
        <c:axId val="1070379903"/>
      </c:barChart>
      <c:catAx>
        <c:axId val="16972080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379903"/>
      </c:catAx>
      <c:valAx>
        <c:axId val="1070379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2080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 cohorts comparing'!$B$33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 cohorts comparing'!$A$34:$A$36</c:f>
            </c:strRef>
          </c:cat>
          <c:val>
            <c:numRef>
              <c:f>'3 cohorts comparing'!$B$34:$B$36</c:f>
              <c:numCache/>
            </c:numRef>
          </c:val>
        </c:ser>
        <c:axId val="386546531"/>
        <c:axId val="1581852505"/>
      </c:barChart>
      <c:catAx>
        <c:axId val="386546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852505"/>
      </c:catAx>
      <c:valAx>
        <c:axId val="1581852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546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152400</xdr:rowOff>
    </xdr:from>
    <xdr:ext cx="5715000" cy="3533775"/>
    <xdr:pic>
      <xdr:nvPicPr>
        <xdr:cNvPr id="108928562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266700</xdr:colOff>
      <xdr:row>19</xdr:row>
      <xdr:rowOff>209550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0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276225</xdr:colOff>
      <xdr:row>17</xdr:row>
      <xdr:rowOff>19050</xdr:rowOff>
    </xdr:from>
    <xdr:ext cx="4714875" cy="29146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333375</xdr:colOff>
      <xdr:row>31</xdr:row>
      <xdr:rowOff>95250</xdr:rowOff>
    </xdr:from>
    <xdr:ext cx="4610100" cy="2867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704850</xdr:colOff>
      <xdr:row>17</xdr:row>
      <xdr:rowOff>19050</xdr:rowOff>
    </xdr:from>
    <xdr:ext cx="4714875" cy="2914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723900</xdr:colOff>
      <xdr:row>31</xdr:row>
      <xdr:rowOff>95250</xdr:rowOff>
    </xdr:from>
    <xdr:ext cx="4676775" cy="28670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23.63"/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</v>
      </c>
      <c r="G1" s="2" t="s">
        <v>5</v>
      </c>
      <c r="H1" s="2" t="s">
        <v>6</v>
      </c>
      <c r="I1" s="2" t="s">
        <v>4</v>
      </c>
      <c r="J1" s="3" t="s">
        <v>7</v>
      </c>
      <c r="K1" s="3" t="s">
        <v>8</v>
      </c>
      <c r="L1" s="4" t="s">
        <v>9</v>
      </c>
      <c r="M1" s="4" t="s">
        <v>10</v>
      </c>
      <c r="N1" s="4" t="s">
        <v>11</v>
      </c>
    </row>
    <row r="2">
      <c r="A2" s="5">
        <v>1.0</v>
      </c>
      <c r="B2" s="6">
        <v>3180.0</v>
      </c>
      <c r="C2" s="6">
        <v>17503.0</v>
      </c>
      <c r="D2" s="6">
        <v>1.28952505E8</v>
      </c>
      <c r="E2" s="6">
        <v>6.2160175E7</v>
      </c>
      <c r="F2" s="7">
        <f t="shared" ref="F2:I2" si="1">B2/B$12</f>
        <v>0.1000094349</v>
      </c>
      <c r="G2" s="8">
        <f t="shared" si="1"/>
        <v>0.2857166177</v>
      </c>
      <c r="H2" s="8">
        <f t="shared" si="1"/>
        <v>0.3960449742</v>
      </c>
      <c r="I2" s="8">
        <f t="shared" si="1"/>
        <v>0.3984214517</v>
      </c>
      <c r="J2" s="9">
        <f t="shared" ref="J2:J11" si="3">D2/B2</f>
        <v>40551.1022</v>
      </c>
      <c r="K2" s="9">
        <f>E2/B2</f>
        <v>19547.22484</v>
      </c>
      <c r="L2" s="10">
        <f t="shared" ref="L2:L3" si="4">C2/B2</f>
        <v>5.50408805</v>
      </c>
      <c r="M2" s="11">
        <v>7367.45157972919</v>
      </c>
      <c r="N2" s="12">
        <v>0.48203929811212276</v>
      </c>
    </row>
    <row r="3">
      <c r="A3" s="13">
        <v>2.0</v>
      </c>
      <c r="B3" s="14">
        <v>3180.0</v>
      </c>
      <c r="C3" s="14">
        <v>8703.0</v>
      </c>
      <c r="D3" s="14">
        <v>5.5542905E7</v>
      </c>
      <c r="E3" s="14">
        <v>2.707903E7</v>
      </c>
      <c r="F3" s="7">
        <f t="shared" ref="F3:I3" si="2">B3/B$12</f>
        <v>0.1000094349</v>
      </c>
      <c r="G3" s="8">
        <f t="shared" si="2"/>
        <v>0.1420666014</v>
      </c>
      <c r="H3" s="8">
        <f t="shared" si="2"/>
        <v>0.1705859718</v>
      </c>
      <c r="I3" s="8">
        <f t="shared" si="2"/>
        <v>0.1735655738</v>
      </c>
      <c r="J3" s="9">
        <f t="shared" si="3"/>
        <v>17466.32233</v>
      </c>
      <c r="K3" s="9">
        <v>8515.41823899371</v>
      </c>
      <c r="L3" s="10">
        <f t="shared" si="4"/>
        <v>2.736792453</v>
      </c>
      <c r="M3" s="11">
        <v>6382.0412501436285</v>
      </c>
      <c r="N3" s="12">
        <v>0.48753355626609735</v>
      </c>
    </row>
    <row r="4">
      <c r="A4" s="5">
        <v>3.0</v>
      </c>
      <c r="B4" s="6">
        <v>3177.0</v>
      </c>
      <c r="C4" s="6">
        <v>6345.0</v>
      </c>
      <c r="D4" s="6">
        <v>3.8274225E7</v>
      </c>
      <c r="E4" s="6">
        <v>1.8722055E7</v>
      </c>
      <c r="F4" s="7">
        <f t="shared" ref="F4:I4" si="5">B4/B$12</f>
        <v>0.09991508633</v>
      </c>
      <c r="G4" s="8">
        <f t="shared" si="5"/>
        <v>0.1035749265</v>
      </c>
      <c r="H4" s="8">
        <f t="shared" si="5"/>
        <v>0.1175495928</v>
      </c>
      <c r="I4" s="8">
        <f t="shared" si="5"/>
        <v>0.1200007615</v>
      </c>
      <c r="J4" s="9">
        <f t="shared" si="3"/>
        <v>12047.28517</v>
      </c>
      <c r="K4" s="9">
        <v>5892.9981114258735</v>
      </c>
      <c r="L4" s="10">
        <v>1.9971671388101984</v>
      </c>
      <c r="M4" s="11">
        <v>6032.1867612293145</v>
      </c>
      <c r="N4" s="12">
        <v>0.4891556915914039</v>
      </c>
    </row>
    <row r="5">
      <c r="A5" s="5">
        <v>4.0</v>
      </c>
      <c r="B5" s="6">
        <v>3178.0</v>
      </c>
      <c r="C5" s="6">
        <v>5349.0</v>
      </c>
      <c r="D5" s="6">
        <v>2.901701E7</v>
      </c>
      <c r="E5" s="6">
        <v>1.3916595E7</v>
      </c>
      <c r="F5" s="7">
        <f t="shared" ref="F5:I5" si="6">B5/B$12</f>
        <v>0.09994653584</v>
      </c>
      <c r="G5" s="8">
        <f t="shared" si="6"/>
        <v>0.08731635651</v>
      </c>
      <c r="H5" s="8">
        <f t="shared" si="6"/>
        <v>0.08911840044</v>
      </c>
      <c r="I5" s="8">
        <f t="shared" si="6"/>
        <v>0.08919971643</v>
      </c>
      <c r="J5" s="9">
        <f t="shared" si="3"/>
        <v>9130.58842</v>
      </c>
      <c r="K5" s="9">
        <v>4379.041850220265</v>
      </c>
      <c r="L5" s="10">
        <v>1.6831340465701699</v>
      </c>
      <c r="M5" s="11">
        <v>5424.75415965601</v>
      </c>
      <c r="N5" s="12">
        <v>0.47960127525199875</v>
      </c>
    </row>
    <row r="6">
      <c r="A6" s="5">
        <v>5.0</v>
      </c>
      <c r="B6" s="6">
        <v>3183.0</v>
      </c>
      <c r="C6" s="6">
        <v>4683.0</v>
      </c>
      <c r="D6" s="6">
        <v>2.2555225E7</v>
      </c>
      <c r="E6" s="6">
        <v>1.0734405E7</v>
      </c>
      <c r="F6" s="7">
        <f t="shared" ref="F6:I6" si="7">B6/B$12</f>
        <v>0.1001037834</v>
      </c>
      <c r="G6" s="8">
        <f t="shared" si="7"/>
        <v>0.0764446621</v>
      </c>
      <c r="H6" s="8">
        <f t="shared" si="7"/>
        <v>0.06927266364</v>
      </c>
      <c r="I6" s="8">
        <f t="shared" si="7"/>
        <v>0.06880317218</v>
      </c>
      <c r="J6" s="9">
        <f t="shared" si="3"/>
        <v>7086.153</v>
      </c>
      <c r="K6" s="9">
        <v>3372.4175306314796</v>
      </c>
      <c r="L6" s="10">
        <v>1.471253534401508</v>
      </c>
      <c r="M6" s="11">
        <v>4816.405082212257</v>
      </c>
      <c r="N6" s="12">
        <v>0.4759165559199698</v>
      </c>
    </row>
    <row r="7">
      <c r="A7" s="5">
        <v>6.0</v>
      </c>
      <c r="B7" s="6">
        <v>3124.0</v>
      </c>
      <c r="C7" s="6">
        <v>4330.0</v>
      </c>
      <c r="D7" s="6">
        <v>1.7169955E7</v>
      </c>
      <c r="E7" s="6">
        <v>7948270.0</v>
      </c>
      <c r="F7" s="7">
        <f t="shared" ref="F7:I7" si="8">B7/B$12</f>
        <v>0.09824826241</v>
      </c>
      <c r="G7" s="8">
        <f t="shared" si="8"/>
        <v>0.07068233758</v>
      </c>
      <c r="H7" s="8">
        <f t="shared" si="8"/>
        <v>0.05273317014</v>
      </c>
      <c r="I7" s="8">
        <f t="shared" si="8"/>
        <v>0.05094517948</v>
      </c>
      <c r="J7" s="15">
        <f t="shared" si="3"/>
        <v>5496.144366</v>
      </c>
      <c r="K7" s="15">
        <v>2544.260563380282</v>
      </c>
      <c r="L7" s="16">
        <v>1.3860435339308579</v>
      </c>
      <c r="M7" s="17">
        <v>3965.347575057737</v>
      </c>
      <c r="N7" s="18">
        <v>0.46291734602682416</v>
      </c>
    </row>
    <row r="8">
      <c r="A8" s="5">
        <v>7.0</v>
      </c>
      <c r="B8" s="6">
        <v>3233.0</v>
      </c>
      <c r="C8" s="6">
        <v>4004.0</v>
      </c>
      <c r="D8" s="6">
        <v>1.347071E7</v>
      </c>
      <c r="E8" s="6">
        <v>6240025.0</v>
      </c>
      <c r="F8" s="7">
        <f t="shared" ref="F8:I8" si="9">B8/B$12</f>
        <v>0.1016762588</v>
      </c>
      <c r="G8" s="8">
        <f t="shared" si="9"/>
        <v>0.06536075743</v>
      </c>
      <c r="H8" s="8">
        <f t="shared" si="9"/>
        <v>0.0413718756</v>
      </c>
      <c r="I8" s="8">
        <f t="shared" si="9"/>
        <v>0.03999602349</v>
      </c>
      <c r="J8" s="15">
        <f t="shared" si="3"/>
        <v>4166.628518</v>
      </c>
      <c r="K8" s="15">
        <v>1930.1036189297865</v>
      </c>
      <c r="L8" s="16">
        <v>1.238478193628209</v>
      </c>
      <c r="M8" s="17">
        <v>3364.313186813187</v>
      </c>
      <c r="N8" s="18">
        <v>0.4632291096757335</v>
      </c>
    </row>
    <row r="9">
      <c r="A9" s="5">
        <v>8.0</v>
      </c>
      <c r="B9" s="6">
        <v>2996.0</v>
      </c>
      <c r="C9" s="6">
        <v>3414.0</v>
      </c>
      <c r="D9" s="6">
        <v>9381075.0</v>
      </c>
      <c r="E9" s="6">
        <v>4326685.0</v>
      </c>
      <c r="F9" s="7">
        <f t="shared" ref="F9:I9" si="10">B9/B$12</f>
        <v>0.09422272541</v>
      </c>
      <c r="G9" s="8">
        <f t="shared" si="10"/>
        <v>0.05572967679</v>
      </c>
      <c r="H9" s="8">
        <f t="shared" si="10"/>
        <v>0.028811597</v>
      </c>
      <c r="I9" s="8">
        <f t="shared" si="10"/>
        <v>0.02773229192</v>
      </c>
      <c r="J9" s="15">
        <f t="shared" si="3"/>
        <v>3131.199933</v>
      </c>
      <c r="K9" s="15">
        <v>1444.1538718291056</v>
      </c>
      <c r="L9" s="16">
        <v>1.1395193591455273</v>
      </c>
      <c r="M9" s="17">
        <v>2747.8251318101934</v>
      </c>
      <c r="N9" s="18">
        <v>0.46121419986515405</v>
      </c>
    </row>
    <row r="10">
      <c r="A10" s="5">
        <v>9.0</v>
      </c>
      <c r="B10" s="6">
        <v>3360.0</v>
      </c>
      <c r="C10" s="6">
        <v>3659.0</v>
      </c>
      <c r="D10" s="6">
        <v>7496500.0</v>
      </c>
      <c r="E10" s="6">
        <v>3334100.0</v>
      </c>
      <c r="F10" s="7">
        <f t="shared" ref="F10:I10" si="11">B10/B$12</f>
        <v>0.1056703463</v>
      </c>
      <c r="G10" s="8">
        <f t="shared" si="11"/>
        <v>0.05972902383</v>
      </c>
      <c r="H10" s="8">
        <f t="shared" si="11"/>
        <v>0.02302360198</v>
      </c>
      <c r="I10" s="8">
        <f t="shared" si="11"/>
        <v>0.02137022559</v>
      </c>
      <c r="J10" s="15">
        <f t="shared" si="3"/>
        <v>2231.10119</v>
      </c>
      <c r="K10" s="15">
        <v>992.2916666666666</v>
      </c>
      <c r="L10" s="16">
        <v>1.0889880952380953</v>
      </c>
      <c r="M10" s="17">
        <v>2048.7838207160426</v>
      </c>
      <c r="N10" s="18">
        <v>0.4447542186353632</v>
      </c>
    </row>
    <row r="11">
      <c r="A11" s="5">
        <v>10.0</v>
      </c>
      <c r="B11" s="6">
        <v>3186.0</v>
      </c>
      <c r="C11" s="6">
        <v>3270.0</v>
      </c>
      <c r="D11" s="6">
        <v>3740550.0</v>
      </c>
      <c r="E11" s="6">
        <v>1554795.0</v>
      </c>
      <c r="F11" s="7">
        <f t="shared" ref="F11:I11" si="12">B11/B$12</f>
        <v>0.1001981319</v>
      </c>
      <c r="G11" s="8">
        <f t="shared" si="12"/>
        <v>0.05337904016</v>
      </c>
      <c r="H11" s="8">
        <f t="shared" si="12"/>
        <v>0.01148815239</v>
      </c>
      <c r="I11" s="8">
        <f t="shared" si="12"/>
        <v>0.009965603878</v>
      </c>
      <c r="J11" s="19">
        <f t="shared" si="3"/>
        <v>1174.05838</v>
      </c>
      <c r="K11" s="19">
        <v>488.00847457627117</v>
      </c>
      <c r="L11" s="20">
        <v>1.0263653483992468</v>
      </c>
      <c r="M11" s="21">
        <v>1143.8990825688074</v>
      </c>
      <c r="N11" s="22">
        <v>0.4156594618438465</v>
      </c>
    </row>
    <row r="12">
      <c r="A12" s="23" t="s">
        <v>12</v>
      </c>
      <c r="B12" s="24">
        <f t="shared" ref="B12:I12" si="13">SUM(B2:B11)</f>
        <v>31797</v>
      </c>
      <c r="C12" s="24">
        <f t="shared" si="13"/>
        <v>61260</v>
      </c>
      <c r="D12" s="24">
        <f t="shared" si="13"/>
        <v>325600660</v>
      </c>
      <c r="E12" s="24">
        <f t="shared" si="13"/>
        <v>156016135</v>
      </c>
      <c r="F12" s="8">
        <f t="shared" si="13"/>
        <v>1</v>
      </c>
      <c r="G12" s="8">
        <f t="shared" si="13"/>
        <v>1</v>
      </c>
      <c r="H12" s="8">
        <f t="shared" si="13"/>
        <v>1</v>
      </c>
      <c r="I12" s="8">
        <f t="shared" si="13"/>
        <v>1</v>
      </c>
      <c r="J12" s="25"/>
      <c r="K12" s="26">
        <v>4906.630656980218</v>
      </c>
      <c r="L12" s="27">
        <v>1.926596848759317</v>
      </c>
      <c r="M12" s="28">
        <v>5315.061377734248</v>
      </c>
      <c r="N12" s="7">
        <v>0.4791640625052787</v>
      </c>
    </row>
    <row r="14">
      <c r="A14" s="29"/>
    </row>
    <row r="15">
      <c r="A15" s="30"/>
      <c r="B15" s="30"/>
      <c r="C15" s="30"/>
    </row>
    <row r="16">
      <c r="A16" s="31"/>
    </row>
    <row r="17">
      <c r="A17" s="32"/>
    </row>
    <row r="18">
      <c r="A18" s="31"/>
    </row>
    <row r="19">
      <c r="A19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13</v>
      </c>
      <c r="B1" s="34" t="s">
        <v>1</v>
      </c>
      <c r="C1" s="34" t="s">
        <v>14</v>
      </c>
      <c r="D1" s="33" t="s">
        <v>6</v>
      </c>
      <c r="E1" s="33" t="s">
        <v>4</v>
      </c>
      <c r="F1" s="35" t="s">
        <v>15</v>
      </c>
    </row>
    <row r="2">
      <c r="A2" s="13" t="s">
        <v>16</v>
      </c>
      <c r="B2" s="14">
        <v>2943.0</v>
      </c>
      <c r="C2" s="14">
        <v>3683.0</v>
      </c>
      <c r="D2" s="14">
        <v>2.180398E7</v>
      </c>
      <c r="E2" s="14">
        <v>1.0398135E7</v>
      </c>
      <c r="F2" s="36">
        <f t="shared" ref="F2:F17" si="1">B2/$B$2</f>
        <v>1</v>
      </c>
    </row>
    <row r="3">
      <c r="A3" s="5" t="s">
        <v>17</v>
      </c>
      <c r="B3" s="6">
        <v>346.0</v>
      </c>
      <c r="C3" s="6">
        <v>513.0</v>
      </c>
      <c r="D3" s="6">
        <v>2765015.0</v>
      </c>
      <c r="E3" s="6">
        <v>1386330.0</v>
      </c>
      <c r="F3" s="36">
        <f t="shared" si="1"/>
        <v>0.1175671084</v>
      </c>
    </row>
    <row r="4">
      <c r="A4" s="5" t="s">
        <v>18</v>
      </c>
      <c r="B4" s="6">
        <v>313.0</v>
      </c>
      <c r="C4" s="6">
        <v>451.0</v>
      </c>
      <c r="D4" s="6">
        <v>2352130.0</v>
      </c>
      <c r="E4" s="6">
        <v>1173700.0</v>
      </c>
      <c r="F4" s="36">
        <f t="shared" si="1"/>
        <v>0.1063540605</v>
      </c>
    </row>
    <row r="5">
      <c r="A5" s="5" t="s">
        <v>19</v>
      </c>
      <c r="B5" s="6">
        <v>485.0</v>
      </c>
      <c r="C5" s="6">
        <v>819.0</v>
      </c>
      <c r="D5" s="6">
        <v>4692930.0</v>
      </c>
      <c r="E5" s="6">
        <v>2335300.0</v>
      </c>
      <c r="F5" s="36">
        <f t="shared" si="1"/>
        <v>0.1647978253</v>
      </c>
    </row>
    <row r="6">
      <c r="A6" s="5" t="s">
        <v>20</v>
      </c>
      <c r="B6" s="6">
        <v>296.0</v>
      </c>
      <c r="C6" s="6">
        <v>435.0</v>
      </c>
      <c r="D6" s="6">
        <v>2411530.0</v>
      </c>
      <c r="E6" s="6">
        <v>1161600.0</v>
      </c>
      <c r="F6" s="36">
        <f t="shared" si="1"/>
        <v>0.1005776419</v>
      </c>
    </row>
    <row r="7">
      <c r="A7" s="5" t="s">
        <v>21</v>
      </c>
      <c r="B7" s="6">
        <v>286.0</v>
      </c>
      <c r="C7" s="6">
        <v>453.0</v>
      </c>
      <c r="D7" s="6">
        <v>2186470.0</v>
      </c>
      <c r="E7" s="6">
        <v>1074425.0</v>
      </c>
      <c r="F7" s="36">
        <f t="shared" si="1"/>
        <v>0.09717974856</v>
      </c>
    </row>
    <row r="8">
      <c r="A8" s="5" t="s">
        <v>22</v>
      </c>
      <c r="B8" s="6">
        <v>245.0</v>
      </c>
      <c r="C8" s="6">
        <v>396.0</v>
      </c>
      <c r="D8" s="6">
        <v>2040280.0</v>
      </c>
      <c r="E8" s="6">
        <v>988295.0</v>
      </c>
      <c r="F8" s="36">
        <f t="shared" si="1"/>
        <v>0.083248386</v>
      </c>
    </row>
    <row r="9">
      <c r="A9" s="5" t="s">
        <v>23</v>
      </c>
      <c r="B9" s="6">
        <v>420.0</v>
      </c>
      <c r="C9" s="6">
        <v>808.0</v>
      </c>
      <c r="D9" s="6">
        <v>4619175.0</v>
      </c>
      <c r="E9" s="6">
        <v>2215950.0</v>
      </c>
      <c r="F9" s="36">
        <f t="shared" si="1"/>
        <v>0.1427115189</v>
      </c>
    </row>
    <row r="10">
      <c r="A10" s="5" t="s">
        <v>24</v>
      </c>
      <c r="B10" s="6">
        <v>312.0</v>
      </c>
      <c r="C10" s="6">
        <v>481.0</v>
      </c>
      <c r="D10" s="6">
        <v>2391565.0</v>
      </c>
      <c r="E10" s="6">
        <v>1101815.0</v>
      </c>
      <c r="F10" s="36">
        <f t="shared" si="1"/>
        <v>0.1060142712</v>
      </c>
    </row>
    <row r="11">
      <c r="A11" s="5" t="s">
        <v>25</v>
      </c>
      <c r="B11" s="6">
        <v>281.0</v>
      </c>
      <c r="C11" s="6">
        <v>462.0</v>
      </c>
      <c r="D11" s="6">
        <v>2061895.0</v>
      </c>
      <c r="E11" s="6">
        <v>960080.0</v>
      </c>
      <c r="F11" s="36">
        <f t="shared" si="1"/>
        <v>0.0954808019</v>
      </c>
    </row>
    <row r="12">
      <c r="A12" s="5" t="s">
        <v>26</v>
      </c>
      <c r="B12" s="6">
        <v>220.0</v>
      </c>
      <c r="C12" s="6">
        <v>384.0</v>
      </c>
      <c r="D12" s="6">
        <v>1826220.0</v>
      </c>
      <c r="E12" s="6">
        <v>838310.0</v>
      </c>
      <c r="F12" s="36">
        <f t="shared" si="1"/>
        <v>0.07475365274</v>
      </c>
    </row>
    <row r="13">
      <c r="A13" s="5" t="s">
        <v>27</v>
      </c>
      <c r="B13" s="6">
        <v>358.0</v>
      </c>
      <c r="C13" s="6">
        <v>722.0</v>
      </c>
      <c r="D13" s="6">
        <v>3652880.0</v>
      </c>
      <c r="E13" s="6">
        <v>1726835.0</v>
      </c>
      <c r="F13" s="36">
        <f t="shared" si="1"/>
        <v>0.1216445804</v>
      </c>
    </row>
    <row r="14">
      <c r="A14" s="5" t="s">
        <v>28</v>
      </c>
      <c r="B14" s="6">
        <v>244.0</v>
      </c>
      <c r="C14" s="6">
        <v>397.0</v>
      </c>
      <c r="D14" s="6">
        <v>1945185.0</v>
      </c>
      <c r="E14" s="6">
        <v>908215.0</v>
      </c>
      <c r="F14" s="36">
        <f t="shared" si="1"/>
        <v>0.08290859667</v>
      </c>
    </row>
    <row r="15">
      <c r="A15" s="5" t="s">
        <v>29</v>
      </c>
      <c r="B15" s="6">
        <v>236.0</v>
      </c>
      <c r="C15" s="6">
        <v>390.0</v>
      </c>
      <c r="D15" s="6">
        <v>1882925.0</v>
      </c>
      <c r="E15" s="6">
        <v>884840.0</v>
      </c>
      <c r="F15" s="36">
        <f t="shared" si="1"/>
        <v>0.08019028203</v>
      </c>
    </row>
    <row r="16">
      <c r="A16" s="5" t="s">
        <v>30</v>
      </c>
      <c r="B16" s="6">
        <v>201.0</v>
      </c>
      <c r="C16" s="6">
        <v>338.0</v>
      </c>
      <c r="D16" s="6">
        <v>1504580.0</v>
      </c>
      <c r="E16" s="6">
        <v>703560.0</v>
      </c>
      <c r="F16" s="36">
        <f t="shared" si="1"/>
        <v>0.06829765545</v>
      </c>
    </row>
    <row r="17">
      <c r="A17" s="37" t="s">
        <v>31</v>
      </c>
      <c r="B17" s="38">
        <v>353.0</v>
      </c>
      <c r="C17" s="38">
        <v>657.0</v>
      </c>
      <c r="D17" s="38">
        <v>3447070.0</v>
      </c>
      <c r="E17" s="38">
        <v>1627065.0</v>
      </c>
      <c r="F17" s="36">
        <f t="shared" si="1"/>
        <v>0.1199456337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5.25"/>
  </cols>
  <sheetData>
    <row r="1">
      <c r="A1" s="39" t="s">
        <v>13</v>
      </c>
      <c r="B1" s="40" t="s">
        <v>1</v>
      </c>
      <c r="C1" s="40" t="s">
        <v>14</v>
      </c>
      <c r="D1" s="39" t="s">
        <v>6</v>
      </c>
      <c r="E1" s="39" t="s">
        <v>4</v>
      </c>
      <c r="F1" s="41" t="s">
        <v>15</v>
      </c>
      <c r="G1" s="42" t="s">
        <v>32</v>
      </c>
      <c r="H1" s="42" t="s">
        <v>33</v>
      </c>
      <c r="I1" s="42" t="s">
        <v>34</v>
      </c>
    </row>
    <row r="2">
      <c r="A2" s="43" t="s">
        <v>16</v>
      </c>
      <c r="B2" s="44">
        <v>2943.0</v>
      </c>
      <c r="C2" s="44">
        <v>3683.0</v>
      </c>
      <c r="D2" s="44">
        <v>2.180398E7</v>
      </c>
      <c r="E2" s="44">
        <v>1.0398135E7</v>
      </c>
      <c r="F2" s="45">
        <f t="shared" ref="F2:F17" si="1">B2/$B$2</f>
        <v>1</v>
      </c>
      <c r="G2" s="46">
        <f t="shared" ref="G2:G17" si="2">C2/$C$2</f>
        <v>1</v>
      </c>
      <c r="H2" s="46">
        <f t="shared" ref="H2:H17" si="3">D2/$D$2</f>
        <v>1</v>
      </c>
      <c r="I2" s="46">
        <f t="shared" ref="I2:I17" si="4">E2/$E$2</f>
        <v>1</v>
      </c>
    </row>
    <row r="3">
      <c r="A3" s="47" t="s">
        <v>17</v>
      </c>
      <c r="B3" s="48">
        <v>346.0</v>
      </c>
      <c r="C3" s="48">
        <v>513.0</v>
      </c>
      <c r="D3" s="48">
        <v>2765015.0</v>
      </c>
      <c r="E3" s="48">
        <v>1386330.0</v>
      </c>
      <c r="F3" s="45">
        <f t="shared" si="1"/>
        <v>0.1175671084</v>
      </c>
      <c r="G3" s="46">
        <f t="shared" si="2"/>
        <v>0.1392886234</v>
      </c>
      <c r="H3" s="46">
        <f t="shared" si="3"/>
        <v>0.1268123985</v>
      </c>
      <c r="I3" s="46">
        <f t="shared" si="4"/>
        <v>0.1333248703</v>
      </c>
    </row>
    <row r="4">
      <c r="A4" s="47" t="s">
        <v>18</v>
      </c>
      <c r="B4" s="48">
        <v>313.0</v>
      </c>
      <c r="C4" s="48">
        <v>451.0</v>
      </c>
      <c r="D4" s="48">
        <v>2352130.0</v>
      </c>
      <c r="E4" s="48">
        <v>1173700.0</v>
      </c>
      <c r="F4" s="45">
        <f t="shared" si="1"/>
        <v>0.1063540605</v>
      </c>
      <c r="G4" s="46">
        <f t="shared" si="2"/>
        <v>0.1224545208</v>
      </c>
      <c r="H4" s="46">
        <f t="shared" si="3"/>
        <v>0.1078761767</v>
      </c>
      <c r="I4" s="46">
        <f t="shared" si="4"/>
        <v>0.1128760109</v>
      </c>
    </row>
    <row r="5">
      <c r="A5" s="47" t="s">
        <v>19</v>
      </c>
      <c r="B5" s="48">
        <v>485.0</v>
      </c>
      <c r="C5" s="48">
        <v>819.0</v>
      </c>
      <c r="D5" s="48">
        <v>4692930.0</v>
      </c>
      <c r="E5" s="48">
        <v>2335300.0</v>
      </c>
      <c r="F5" s="45">
        <f t="shared" si="1"/>
        <v>0.1647978253</v>
      </c>
      <c r="G5" s="46">
        <f t="shared" si="2"/>
        <v>0.2223730654</v>
      </c>
      <c r="H5" s="46">
        <f t="shared" si="3"/>
        <v>0.2152327236</v>
      </c>
      <c r="I5" s="46">
        <f t="shared" si="4"/>
        <v>0.2245883517</v>
      </c>
    </row>
    <row r="6">
      <c r="A6" s="47" t="s">
        <v>20</v>
      </c>
      <c r="B6" s="48">
        <v>296.0</v>
      </c>
      <c r="C6" s="48">
        <v>435.0</v>
      </c>
      <c r="D6" s="48">
        <v>2411530.0</v>
      </c>
      <c r="E6" s="48">
        <v>1161600.0</v>
      </c>
      <c r="F6" s="45">
        <f t="shared" si="1"/>
        <v>0.1005776419</v>
      </c>
      <c r="G6" s="46">
        <f t="shared" si="2"/>
        <v>0.1181102362</v>
      </c>
      <c r="H6" s="46">
        <f t="shared" si="3"/>
        <v>0.11060045</v>
      </c>
      <c r="I6" s="46">
        <f t="shared" si="4"/>
        <v>0.1117123407</v>
      </c>
    </row>
    <row r="7">
      <c r="A7" s="47" t="s">
        <v>21</v>
      </c>
      <c r="B7" s="48">
        <v>286.0</v>
      </c>
      <c r="C7" s="48">
        <v>453.0</v>
      </c>
      <c r="D7" s="48">
        <v>2186470.0</v>
      </c>
      <c r="E7" s="48">
        <v>1074425.0</v>
      </c>
      <c r="F7" s="45">
        <f t="shared" si="1"/>
        <v>0.09717974856</v>
      </c>
      <c r="G7" s="46">
        <f t="shared" si="2"/>
        <v>0.1229975563</v>
      </c>
      <c r="H7" s="46">
        <f t="shared" si="3"/>
        <v>0.1002784813</v>
      </c>
      <c r="I7" s="46">
        <f t="shared" si="4"/>
        <v>0.1033286258</v>
      </c>
    </row>
    <row r="8">
      <c r="A8" s="47" t="s">
        <v>22</v>
      </c>
      <c r="B8" s="48">
        <v>245.0</v>
      </c>
      <c r="C8" s="48">
        <v>396.0</v>
      </c>
      <c r="D8" s="48">
        <v>2040280.0</v>
      </c>
      <c r="E8" s="48">
        <v>988295.0</v>
      </c>
      <c r="F8" s="45">
        <f t="shared" si="1"/>
        <v>0.083248386</v>
      </c>
      <c r="G8" s="46">
        <f t="shared" si="2"/>
        <v>0.1075210426</v>
      </c>
      <c r="H8" s="46">
        <f t="shared" si="3"/>
        <v>0.09357374204</v>
      </c>
      <c r="I8" s="46">
        <f t="shared" si="4"/>
        <v>0.09504540959</v>
      </c>
    </row>
    <row r="9">
      <c r="A9" s="47" t="s">
        <v>23</v>
      </c>
      <c r="B9" s="48">
        <v>420.0</v>
      </c>
      <c r="C9" s="48">
        <v>808.0</v>
      </c>
      <c r="D9" s="48">
        <v>4619175.0</v>
      </c>
      <c r="E9" s="48">
        <v>2215950.0</v>
      </c>
      <c r="F9" s="45">
        <f t="shared" si="1"/>
        <v>0.1427115189</v>
      </c>
      <c r="G9" s="46">
        <f t="shared" si="2"/>
        <v>0.2193863698</v>
      </c>
      <c r="H9" s="46">
        <f t="shared" si="3"/>
        <v>0.2118500843</v>
      </c>
      <c r="I9" s="46">
        <f t="shared" si="4"/>
        <v>0.2131103318</v>
      </c>
    </row>
    <row r="10">
      <c r="A10" s="47" t="s">
        <v>24</v>
      </c>
      <c r="B10" s="48">
        <v>312.0</v>
      </c>
      <c r="C10" s="48">
        <v>481.0</v>
      </c>
      <c r="D10" s="48">
        <v>2391565.0</v>
      </c>
      <c r="E10" s="48">
        <v>1101815.0</v>
      </c>
      <c r="F10" s="45">
        <f t="shared" si="1"/>
        <v>0.1060142712</v>
      </c>
      <c r="G10" s="46">
        <f t="shared" si="2"/>
        <v>0.1306000543</v>
      </c>
      <c r="H10" s="46">
        <f t="shared" si="3"/>
        <v>0.1096847915</v>
      </c>
      <c r="I10" s="46">
        <f t="shared" si="4"/>
        <v>0.105962752</v>
      </c>
    </row>
    <row r="11">
      <c r="A11" s="47" t="s">
        <v>25</v>
      </c>
      <c r="B11" s="48">
        <v>281.0</v>
      </c>
      <c r="C11" s="48">
        <v>462.0</v>
      </c>
      <c r="D11" s="48">
        <v>2061895.0</v>
      </c>
      <c r="E11" s="48">
        <v>960080.0</v>
      </c>
      <c r="F11" s="45">
        <f t="shared" si="1"/>
        <v>0.0954808019</v>
      </c>
      <c r="G11" s="46">
        <f t="shared" si="2"/>
        <v>0.1254412164</v>
      </c>
      <c r="H11" s="46">
        <f t="shared" si="3"/>
        <v>0.09456507482</v>
      </c>
      <c r="I11" s="46">
        <f t="shared" si="4"/>
        <v>0.09233194222</v>
      </c>
    </row>
    <row r="12">
      <c r="A12" s="47" t="s">
        <v>26</v>
      </c>
      <c r="B12" s="48">
        <v>220.0</v>
      </c>
      <c r="C12" s="48">
        <v>384.0</v>
      </c>
      <c r="D12" s="48">
        <v>1826220.0</v>
      </c>
      <c r="E12" s="48">
        <v>838310.0</v>
      </c>
      <c r="F12" s="45">
        <f t="shared" si="1"/>
        <v>0.07475365274</v>
      </c>
      <c r="G12" s="46">
        <f t="shared" si="2"/>
        <v>0.1042628292</v>
      </c>
      <c r="H12" s="46">
        <f t="shared" si="3"/>
        <v>0.08375626835</v>
      </c>
      <c r="I12" s="46">
        <f t="shared" si="4"/>
        <v>0.08062118832</v>
      </c>
    </row>
    <row r="13">
      <c r="A13" s="47" t="s">
        <v>27</v>
      </c>
      <c r="B13" s="48">
        <v>358.0</v>
      </c>
      <c r="C13" s="48">
        <v>722.0</v>
      </c>
      <c r="D13" s="48">
        <v>3652880.0</v>
      </c>
      <c r="E13" s="48">
        <v>1726835.0</v>
      </c>
      <c r="F13" s="45">
        <f t="shared" si="1"/>
        <v>0.1216445804</v>
      </c>
      <c r="G13" s="46">
        <f t="shared" si="2"/>
        <v>0.1960358403</v>
      </c>
      <c r="H13" s="46">
        <f t="shared" si="3"/>
        <v>0.1675327165</v>
      </c>
      <c r="I13" s="46">
        <f t="shared" si="4"/>
        <v>0.166071608</v>
      </c>
    </row>
    <row r="14">
      <c r="A14" s="47" t="s">
        <v>28</v>
      </c>
      <c r="B14" s="48">
        <v>244.0</v>
      </c>
      <c r="C14" s="48">
        <v>397.0</v>
      </c>
      <c r="D14" s="48">
        <v>1945185.0</v>
      </c>
      <c r="E14" s="48">
        <v>908215.0</v>
      </c>
      <c r="F14" s="45">
        <f t="shared" si="1"/>
        <v>0.08290859667</v>
      </c>
      <c r="G14" s="46">
        <f t="shared" si="2"/>
        <v>0.1077925604</v>
      </c>
      <c r="H14" s="46">
        <f t="shared" si="3"/>
        <v>0.08921238233</v>
      </c>
      <c r="I14" s="46">
        <f t="shared" si="4"/>
        <v>0.08734402852</v>
      </c>
    </row>
    <row r="15">
      <c r="A15" s="47" t="s">
        <v>29</v>
      </c>
      <c r="B15" s="48">
        <v>236.0</v>
      </c>
      <c r="C15" s="48">
        <v>390.0</v>
      </c>
      <c r="D15" s="48">
        <v>1882925.0</v>
      </c>
      <c r="E15" s="48">
        <v>884840.0</v>
      </c>
      <c r="F15" s="45">
        <f t="shared" si="1"/>
        <v>0.08019028203</v>
      </c>
      <c r="G15" s="46">
        <f t="shared" si="2"/>
        <v>0.1058919359</v>
      </c>
      <c r="H15" s="46">
        <f t="shared" si="3"/>
        <v>0.08635694034</v>
      </c>
      <c r="I15" s="46">
        <f t="shared" si="4"/>
        <v>0.08509602924</v>
      </c>
    </row>
    <row r="16">
      <c r="A16" s="47" t="s">
        <v>30</v>
      </c>
      <c r="B16" s="48">
        <v>201.0</v>
      </c>
      <c r="C16" s="48">
        <v>338.0</v>
      </c>
      <c r="D16" s="48">
        <v>1504580.0</v>
      </c>
      <c r="E16" s="48">
        <v>703560.0</v>
      </c>
      <c r="F16" s="45">
        <f t="shared" si="1"/>
        <v>0.06829765545</v>
      </c>
      <c r="G16" s="46">
        <f t="shared" si="2"/>
        <v>0.09177301113</v>
      </c>
      <c r="H16" s="46">
        <f t="shared" si="3"/>
        <v>0.06900483306</v>
      </c>
      <c r="I16" s="46">
        <f t="shared" si="4"/>
        <v>0.06766213364</v>
      </c>
    </row>
    <row r="17">
      <c r="A17" s="49" t="s">
        <v>31</v>
      </c>
      <c r="B17" s="50">
        <v>353.0</v>
      </c>
      <c r="C17" s="50">
        <v>657.0</v>
      </c>
      <c r="D17" s="50">
        <v>3447070.0</v>
      </c>
      <c r="E17" s="50">
        <v>1627065.0</v>
      </c>
      <c r="F17" s="45">
        <f t="shared" si="1"/>
        <v>0.1199456337</v>
      </c>
      <c r="G17" s="46">
        <f t="shared" si="2"/>
        <v>0.1783871844</v>
      </c>
      <c r="H17" s="46">
        <f t="shared" si="3"/>
        <v>0.1580936141</v>
      </c>
      <c r="I17" s="46">
        <f t="shared" si="4"/>
        <v>0.1564766182</v>
      </c>
    </row>
    <row r="20">
      <c r="A20" s="39" t="s">
        <v>13</v>
      </c>
      <c r="B20" s="41" t="s">
        <v>15</v>
      </c>
      <c r="C20" s="42" t="s">
        <v>32</v>
      </c>
      <c r="D20" s="42" t="s">
        <v>33</v>
      </c>
      <c r="E20" s="42" t="s">
        <v>34</v>
      </c>
      <c r="M20" s="29"/>
    </row>
    <row r="21">
      <c r="A21" s="43" t="s">
        <v>16</v>
      </c>
      <c r="B21" s="45">
        <f t="shared" ref="B21:B36" si="5">B2/$B$2</f>
        <v>1</v>
      </c>
      <c r="C21" s="46">
        <f t="shared" ref="C21:C36" si="6">C2/$C$2</f>
        <v>1</v>
      </c>
      <c r="D21" s="46">
        <f t="shared" ref="D21:D36" si="7">D2/$D$2</f>
        <v>1</v>
      </c>
      <c r="E21" s="46">
        <f t="shared" ref="E21:E36" si="8">E2/$E$2</f>
        <v>1</v>
      </c>
      <c r="M21" s="30"/>
    </row>
    <row r="22">
      <c r="A22" s="47" t="s">
        <v>17</v>
      </c>
      <c r="B22" s="45">
        <f t="shared" si="5"/>
        <v>0.1175671084</v>
      </c>
      <c r="C22" s="46">
        <f t="shared" si="6"/>
        <v>0.1392886234</v>
      </c>
      <c r="D22" s="46">
        <f t="shared" si="7"/>
        <v>0.1268123985</v>
      </c>
      <c r="E22" s="46">
        <f t="shared" si="8"/>
        <v>0.1333248703</v>
      </c>
      <c r="M22" s="30"/>
    </row>
    <row r="23">
      <c r="A23" s="47" t="s">
        <v>18</v>
      </c>
      <c r="B23" s="45">
        <f t="shared" si="5"/>
        <v>0.1063540605</v>
      </c>
      <c r="C23" s="46">
        <f t="shared" si="6"/>
        <v>0.1224545208</v>
      </c>
      <c r="D23" s="46">
        <f t="shared" si="7"/>
        <v>0.1078761767</v>
      </c>
      <c r="E23" s="46">
        <f t="shared" si="8"/>
        <v>0.1128760109</v>
      </c>
      <c r="M23" s="51"/>
    </row>
    <row r="24">
      <c r="A24" s="47" t="s">
        <v>19</v>
      </c>
      <c r="B24" s="45">
        <f t="shared" si="5"/>
        <v>0.1647978253</v>
      </c>
      <c r="C24" s="46">
        <f t="shared" si="6"/>
        <v>0.2223730654</v>
      </c>
      <c r="D24" s="46">
        <f t="shared" si="7"/>
        <v>0.2152327236</v>
      </c>
      <c r="E24" s="46">
        <f t="shared" si="8"/>
        <v>0.2245883517</v>
      </c>
      <c r="M24" s="30"/>
    </row>
    <row r="25">
      <c r="A25" s="47" t="s">
        <v>20</v>
      </c>
      <c r="B25" s="45">
        <f t="shared" si="5"/>
        <v>0.1005776419</v>
      </c>
      <c r="C25" s="46">
        <f t="shared" si="6"/>
        <v>0.1181102362</v>
      </c>
      <c r="D25" s="46">
        <f t="shared" si="7"/>
        <v>0.11060045</v>
      </c>
      <c r="E25" s="46">
        <f t="shared" si="8"/>
        <v>0.1117123407</v>
      </c>
      <c r="M25" s="30"/>
    </row>
    <row r="26">
      <c r="A26" s="47" t="s">
        <v>21</v>
      </c>
      <c r="B26" s="45">
        <f t="shared" si="5"/>
        <v>0.09717974856</v>
      </c>
      <c r="C26" s="46">
        <f t="shared" si="6"/>
        <v>0.1229975563</v>
      </c>
      <c r="D26" s="46">
        <f t="shared" si="7"/>
        <v>0.1002784813</v>
      </c>
      <c r="E26" s="46">
        <f t="shared" si="8"/>
        <v>0.1033286258</v>
      </c>
    </row>
    <row r="27">
      <c r="A27" s="47" t="s">
        <v>22</v>
      </c>
      <c r="B27" s="45">
        <f t="shared" si="5"/>
        <v>0.083248386</v>
      </c>
      <c r="C27" s="46">
        <f t="shared" si="6"/>
        <v>0.1075210426</v>
      </c>
      <c r="D27" s="46">
        <f t="shared" si="7"/>
        <v>0.09357374204</v>
      </c>
      <c r="E27" s="46">
        <f t="shared" si="8"/>
        <v>0.09504540959</v>
      </c>
    </row>
    <row r="28">
      <c r="A28" s="47" t="s">
        <v>23</v>
      </c>
      <c r="B28" s="45">
        <f t="shared" si="5"/>
        <v>0.1427115189</v>
      </c>
      <c r="C28" s="46">
        <f t="shared" si="6"/>
        <v>0.2193863698</v>
      </c>
      <c r="D28" s="46">
        <f t="shared" si="7"/>
        <v>0.2118500843</v>
      </c>
      <c r="E28" s="46">
        <f t="shared" si="8"/>
        <v>0.2131103318</v>
      </c>
    </row>
    <row r="29">
      <c r="A29" s="47" t="s">
        <v>24</v>
      </c>
      <c r="B29" s="45">
        <f t="shared" si="5"/>
        <v>0.1060142712</v>
      </c>
      <c r="C29" s="46">
        <f t="shared" si="6"/>
        <v>0.1306000543</v>
      </c>
      <c r="D29" s="46">
        <f t="shared" si="7"/>
        <v>0.1096847915</v>
      </c>
      <c r="E29" s="46">
        <f t="shared" si="8"/>
        <v>0.105962752</v>
      </c>
    </row>
    <row r="30">
      <c r="A30" s="47" t="s">
        <v>25</v>
      </c>
      <c r="B30" s="45">
        <f t="shared" si="5"/>
        <v>0.0954808019</v>
      </c>
      <c r="C30" s="46">
        <f t="shared" si="6"/>
        <v>0.1254412164</v>
      </c>
      <c r="D30" s="46">
        <f t="shared" si="7"/>
        <v>0.09456507482</v>
      </c>
      <c r="E30" s="46">
        <f t="shared" si="8"/>
        <v>0.09233194222</v>
      </c>
    </row>
    <row r="31">
      <c r="A31" s="47" t="s">
        <v>26</v>
      </c>
      <c r="B31" s="45">
        <f t="shared" si="5"/>
        <v>0.07475365274</v>
      </c>
      <c r="C31" s="46">
        <f t="shared" si="6"/>
        <v>0.1042628292</v>
      </c>
      <c r="D31" s="46">
        <f t="shared" si="7"/>
        <v>0.08375626835</v>
      </c>
      <c r="E31" s="46">
        <f t="shared" si="8"/>
        <v>0.08062118832</v>
      </c>
    </row>
    <row r="32">
      <c r="A32" s="47" t="s">
        <v>27</v>
      </c>
      <c r="B32" s="45">
        <f t="shared" si="5"/>
        <v>0.1216445804</v>
      </c>
      <c r="C32" s="46">
        <f t="shared" si="6"/>
        <v>0.1960358403</v>
      </c>
      <c r="D32" s="46">
        <f t="shared" si="7"/>
        <v>0.1675327165</v>
      </c>
      <c r="E32" s="46">
        <f t="shared" si="8"/>
        <v>0.166071608</v>
      </c>
    </row>
    <row r="33">
      <c r="A33" s="47" t="s">
        <v>28</v>
      </c>
      <c r="B33" s="45">
        <f t="shared" si="5"/>
        <v>0.08290859667</v>
      </c>
      <c r="C33" s="46">
        <f t="shared" si="6"/>
        <v>0.1077925604</v>
      </c>
      <c r="D33" s="46">
        <f t="shared" si="7"/>
        <v>0.08921238233</v>
      </c>
      <c r="E33" s="46">
        <f t="shared" si="8"/>
        <v>0.08734402852</v>
      </c>
    </row>
    <row r="34">
      <c r="A34" s="47" t="s">
        <v>29</v>
      </c>
      <c r="B34" s="45">
        <f t="shared" si="5"/>
        <v>0.08019028203</v>
      </c>
      <c r="C34" s="46">
        <f t="shared" si="6"/>
        <v>0.1058919359</v>
      </c>
      <c r="D34" s="46">
        <f t="shared" si="7"/>
        <v>0.08635694034</v>
      </c>
      <c r="E34" s="46">
        <f t="shared" si="8"/>
        <v>0.08509602924</v>
      </c>
    </row>
    <row r="35">
      <c r="A35" s="47" t="s">
        <v>30</v>
      </c>
      <c r="B35" s="45">
        <f t="shared" si="5"/>
        <v>0.06829765545</v>
      </c>
      <c r="C35" s="46">
        <f t="shared" si="6"/>
        <v>0.09177301113</v>
      </c>
      <c r="D35" s="46">
        <f t="shared" si="7"/>
        <v>0.06900483306</v>
      </c>
      <c r="E35" s="46">
        <f t="shared" si="8"/>
        <v>0.06766213364</v>
      </c>
    </row>
    <row r="36">
      <c r="A36" s="49" t="s">
        <v>31</v>
      </c>
      <c r="B36" s="45">
        <f t="shared" si="5"/>
        <v>0.1199456337</v>
      </c>
      <c r="C36" s="46">
        <f t="shared" si="6"/>
        <v>0.1783871844</v>
      </c>
      <c r="D36" s="46">
        <f t="shared" si="7"/>
        <v>0.1580936141</v>
      </c>
      <c r="E36" s="46">
        <f t="shared" si="8"/>
        <v>0.1564766182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35.13"/>
  </cols>
  <sheetData>
    <row r="1">
      <c r="A1" s="52" t="s">
        <v>35</v>
      </c>
      <c r="B1" s="52" t="s">
        <v>36</v>
      </c>
      <c r="C1" s="53" t="s">
        <v>37</v>
      </c>
      <c r="D1" s="52" t="s">
        <v>38</v>
      </c>
      <c r="E1" s="52" t="s">
        <v>39</v>
      </c>
      <c r="M1" s="29"/>
    </row>
    <row r="2">
      <c r="A2" s="54">
        <v>1.0</v>
      </c>
      <c r="B2" s="55">
        <f t="shared" ref="B2:B11" si="1">B14/$B$24</f>
        <v>0.1000094349</v>
      </c>
      <c r="C2" s="55">
        <f t="shared" ref="C2:C11" si="2">C14/$C$24</f>
        <v>0.2857166177</v>
      </c>
      <c r="D2" s="55">
        <f t="shared" ref="D2:D11" si="3">D14/$D$24</f>
        <v>0.3960449742</v>
      </c>
      <c r="E2" s="55">
        <f t="shared" ref="E2:E11" si="4">E14/$E$24</f>
        <v>0.3984214517</v>
      </c>
      <c r="M2" s="30"/>
    </row>
    <row r="3">
      <c r="A3" s="52">
        <v>2.0</v>
      </c>
      <c r="B3" s="55">
        <f t="shared" si="1"/>
        <v>0.1000094349</v>
      </c>
      <c r="C3" s="55">
        <f t="shared" si="2"/>
        <v>0.1420666014</v>
      </c>
      <c r="D3" s="55">
        <f t="shared" si="3"/>
        <v>0.1705859718</v>
      </c>
      <c r="E3" s="55">
        <f t="shared" si="4"/>
        <v>0.1735655738</v>
      </c>
      <c r="M3" s="30"/>
    </row>
    <row r="4">
      <c r="A4" s="52">
        <v>3.0</v>
      </c>
      <c r="B4" s="55">
        <f t="shared" si="1"/>
        <v>0.09991508633</v>
      </c>
      <c r="C4" s="55">
        <f t="shared" si="2"/>
        <v>0.1035749265</v>
      </c>
      <c r="D4" s="55">
        <f t="shared" si="3"/>
        <v>0.1175495928</v>
      </c>
      <c r="E4" s="55">
        <f t="shared" si="4"/>
        <v>0.1200007615</v>
      </c>
    </row>
    <row r="5">
      <c r="A5" s="52">
        <v>4.0</v>
      </c>
      <c r="B5" s="55">
        <f t="shared" si="1"/>
        <v>0.09994653584</v>
      </c>
      <c r="C5" s="55">
        <f t="shared" si="2"/>
        <v>0.08731635651</v>
      </c>
      <c r="D5" s="55">
        <f t="shared" si="3"/>
        <v>0.08911840044</v>
      </c>
      <c r="E5" s="55">
        <f t="shared" si="4"/>
        <v>0.08919971643</v>
      </c>
    </row>
    <row r="6">
      <c r="A6" s="52">
        <v>5.0</v>
      </c>
      <c r="B6" s="55">
        <f t="shared" si="1"/>
        <v>0.1001037834</v>
      </c>
      <c r="C6" s="55">
        <f t="shared" si="2"/>
        <v>0.0764446621</v>
      </c>
      <c r="D6" s="55">
        <f t="shared" si="3"/>
        <v>0.06927266364</v>
      </c>
      <c r="E6" s="55">
        <f t="shared" si="4"/>
        <v>0.06880317218</v>
      </c>
    </row>
    <row r="7">
      <c r="A7" s="52">
        <v>6.0</v>
      </c>
      <c r="B7" s="55">
        <f t="shared" si="1"/>
        <v>0.09824826241</v>
      </c>
      <c r="C7" s="55">
        <f t="shared" si="2"/>
        <v>0.07068233758</v>
      </c>
      <c r="D7" s="55">
        <f t="shared" si="3"/>
        <v>0.05273317014</v>
      </c>
      <c r="E7" s="55">
        <f t="shared" si="4"/>
        <v>0.05094517948</v>
      </c>
    </row>
    <row r="8">
      <c r="A8" s="52">
        <v>7.0</v>
      </c>
      <c r="B8" s="55">
        <f t="shared" si="1"/>
        <v>0.1016762588</v>
      </c>
      <c r="C8" s="55">
        <f t="shared" si="2"/>
        <v>0.06536075743</v>
      </c>
      <c r="D8" s="55">
        <f t="shared" si="3"/>
        <v>0.0413718756</v>
      </c>
      <c r="E8" s="55">
        <f t="shared" si="4"/>
        <v>0.03999602349</v>
      </c>
    </row>
    <row r="9">
      <c r="A9" s="52">
        <v>8.0</v>
      </c>
      <c r="B9" s="55">
        <f t="shared" si="1"/>
        <v>0.09422272541</v>
      </c>
      <c r="C9" s="55">
        <f t="shared" si="2"/>
        <v>0.05572967679</v>
      </c>
      <c r="D9" s="55">
        <f t="shared" si="3"/>
        <v>0.028811597</v>
      </c>
      <c r="E9" s="55">
        <f t="shared" si="4"/>
        <v>0.02773229192</v>
      </c>
    </row>
    <row r="10">
      <c r="A10" s="52">
        <v>9.0</v>
      </c>
      <c r="B10" s="55">
        <f t="shared" si="1"/>
        <v>0.1056703463</v>
      </c>
      <c r="C10" s="55">
        <f t="shared" si="2"/>
        <v>0.05972902383</v>
      </c>
      <c r="D10" s="55">
        <f t="shared" si="3"/>
        <v>0.02302360198</v>
      </c>
      <c r="E10" s="55">
        <f t="shared" si="4"/>
        <v>0.02137022559</v>
      </c>
    </row>
    <row r="11">
      <c r="A11" s="56">
        <v>10.0</v>
      </c>
      <c r="B11" s="55">
        <f t="shared" si="1"/>
        <v>0.1001981319</v>
      </c>
      <c r="C11" s="55">
        <f t="shared" si="2"/>
        <v>0.05337904016</v>
      </c>
      <c r="D11" s="55">
        <f t="shared" si="3"/>
        <v>0.01148815239</v>
      </c>
      <c r="E11" s="55">
        <f t="shared" si="4"/>
        <v>0.009965603878</v>
      </c>
    </row>
    <row r="13">
      <c r="A13" s="5" t="s">
        <v>35</v>
      </c>
      <c r="B13" s="34" t="s">
        <v>1</v>
      </c>
      <c r="C13" s="57" t="s">
        <v>2</v>
      </c>
      <c r="D13" s="5" t="s">
        <v>6</v>
      </c>
      <c r="E13" s="5" t="s">
        <v>4</v>
      </c>
    </row>
    <row r="14">
      <c r="A14" s="13">
        <v>1.0</v>
      </c>
      <c r="B14" s="14">
        <v>3180.0</v>
      </c>
      <c r="C14" s="14">
        <v>17503.0</v>
      </c>
      <c r="D14" s="14">
        <v>1.28952505E8</v>
      </c>
      <c r="E14" s="14">
        <v>6.2160175E7</v>
      </c>
    </row>
    <row r="15">
      <c r="A15" s="5">
        <v>2.0</v>
      </c>
      <c r="B15" s="6">
        <v>3180.0</v>
      </c>
      <c r="C15" s="6">
        <v>8703.0</v>
      </c>
      <c r="D15" s="6">
        <v>5.5542905E7</v>
      </c>
      <c r="E15" s="6">
        <v>2.707903E7</v>
      </c>
    </row>
    <row r="16">
      <c r="A16" s="5">
        <v>3.0</v>
      </c>
      <c r="B16" s="6">
        <v>3177.0</v>
      </c>
      <c r="C16" s="6">
        <v>6345.0</v>
      </c>
      <c r="D16" s="6">
        <v>3.8274225E7</v>
      </c>
      <c r="E16" s="6">
        <v>1.8722055E7</v>
      </c>
    </row>
    <row r="17">
      <c r="A17" s="5">
        <v>4.0</v>
      </c>
      <c r="B17" s="6">
        <v>3178.0</v>
      </c>
      <c r="C17" s="6">
        <v>5349.0</v>
      </c>
      <c r="D17" s="6">
        <v>2.901701E7</v>
      </c>
      <c r="E17" s="6">
        <v>1.3916595E7</v>
      </c>
    </row>
    <row r="18">
      <c r="A18" s="5">
        <v>5.0</v>
      </c>
      <c r="B18" s="6">
        <v>3183.0</v>
      </c>
      <c r="C18" s="6">
        <v>4683.0</v>
      </c>
      <c r="D18" s="6">
        <v>2.2555225E7</v>
      </c>
      <c r="E18" s="6">
        <v>1.0734405E7</v>
      </c>
    </row>
    <row r="19">
      <c r="A19" s="5">
        <v>6.0</v>
      </c>
      <c r="B19" s="6">
        <v>3124.0</v>
      </c>
      <c r="C19" s="6">
        <v>4330.0</v>
      </c>
      <c r="D19" s="6">
        <v>1.7169955E7</v>
      </c>
      <c r="E19" s="6">
        <v>7948270.0</v>
      </c>
    </row>
    <row r="20">
      <c r="A20" s="5">
        <v>7.0</v>
      </c>
      <c r="B20" s="6">
        <v>3233.0</v>
      </c>
      <c r="C20" s="6">
        <v>4004.0</v>
      </c>
      <c r="D20" s="6">
        <v>1.347071E7</v>
      </c>
      <c r="E20" s="6">
        <v>6240025.0</v>
      </c>
    </row>
    <row r="21">
      <c r="A21" s="5">
        <v>8.0</v>
      </c>
      <c r="B21" s="6">
        <v>2996.0</v>
      </c>
      <c r="C21" s="6">
        <v>3414.0</v>
      </c>
      <c r="D21" s="6">
        <v>9381075.0</v>
      </c>
      <c r="E21" s="6">
        <v>4326685.0</v>
      </c>
    </row>
    <row r="22">
      <c r="A22" s="5">
        <v>9.0</v>
      </c>
      <c r="B22" s="6">
        <v>3360.0</v>
      </c>
      <c r="C22" s="6">
        <v>3659.0</v>
      </c>
      <c r="D22" s="6">
        <v>7496500.0</v>
      </c>
      <c r="E22" s="6">
        <v>3334100.0</v>
      </c>
    </row>
    <row r="23">
      <c r="A23" s="37">
        <v>10.0</v>
      </c>
      <c r="B23" s="38">
        <v>3186.0</v>
      </c>
      <c r="C23" s="38">
        <v>3270.0</v>
      </c>
      <c r="D23" s="38">
        <v>3740550.0</v>
      </c>
      <c r="E23" s="38">
        <v>1554795.0</v>
      </c>
    </row>
    <row r="24">
      <c r="A24" s="58"/>
      <c r="B24" s="6">
        <v>31797.0</v>
      </c>
      <c r="C24" s="6">
        <v>61260.0</v>
      </c>
      <c r="D24" s="6">
        <v>3.2560066E8</v>
      </c>
      <c r="E24" s="6">
        <v>1.56016135E8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35.25"/>
  </cols>
  <sheetData>
    <row r="1">
      <c r="A1" s="59" t="s">
        <v>40</v>
      </c>
      <c r="B1" s="60"/>
      <c r="C1" s="60"/>
      <c r="D1" s="60"/>
      <c r="E1" s="25"/>
      <c r="G1" s="59" t="s">
        <v>41</v>
      </c>
      <c r="H1" s="60"/>
      <c r="I1" s="60"/>
      <c r="J1" s="60"/>
      <c r="K1" s="60"/>
      <c r="M1" s="59" t="s">
        <v>42</v>
      </c>
      <c r="N1" s="60"/>
      <c r="O1" s="60"/>
      <c r="P1" s="60"/>
      <c r="Q1" s="60"/>
      <c r="S1" s="29"/>
    </row>
    <row r="2">
      <c r="A2" s="33" t="s">
        <v>13</v>
      </c>
      <c r="B2" s="34" t="s">
        <v>1</v>
      </c>
      <c r="C2" s="34" t="s">
        <v>14</v>
      </c>
      <c r="D2" s="33" t="s">
        <v>6</v>
      </c>
      <c r="E2" s="61" t="s">
        <v>4</v>
      </c>
      <c r="G2" s="33" t="s">
        <v>13</v>
      </c>
      <c r="H2" s="34" t="s">
        <v>1</v>
      </c>
      <c r="I2" s="34" t="s">
        <v>14</v>
      </c>
      <c r="J2" s="33" t="s">
        <v>6</v>
      </c>
      <c r="K2" s="33" t="s">
        <v>4</v>
      </c>
      <c r="M2" s="33" t="s">
        <v>13</v>
      </c>
      <c r="N2" s="34" t="s">
        <v>1</v>
      </c>
      <c r="O2" s="34" t="s">
        <v>14</v>
      </c>
      <c r="P2" s="33" t="s">
        <v>6</v>
      </c>
      <c r="Q2" s="33" t="s">
        <v>4</v>
      </c>
      <c r="S2" s="30"/>
    </row>
    <row r="3">
      <c r="A3" s="5" t="s">
        <v>18</v>
      </c>
      <c r="B3" s="6">
        <v>2842.0</v>
      </c>
      <c r="C3" s="6">
        <v>3593.0</v>
      </c>
      <c r="D3" s="6">
        <v>1.8866045E7</v>
      </c>
      <c r="E3" s="62">
        <v>9389215.0</v>
      </c>
      <c r="G3" s="58"/>
      <c r="H3" s="63"/>
      <c r="I3" s="63"/>
      <c r="J3" s="6">
        <v>0.0</v>
      </c>
      <c r="K3" s="6">
        <v>0.0</v>
      </c>
      <c r="M3" s="58"/>
      <c r="N3" s="63"/>
      <c r="O3" s="63"/>
      <c r="P3" s="6">
        <v>0.0</v>
      </c>
      <c r="Q3" s="6">
        <v>0.0</v>
      </c>
    </row>
    <row r="4">
      <c r="A4" s="5" t="s">
        <v>19</v>
      </c>
      <c r="B4" s="6">
        <v>529.0</v>
      </c>
      <c r="C4" s="6">
        <v>818.0</v>
      </c>
      <c r="D4" s="6">
        <v>4377010.0</v>
      </c>
      <c r="E4" s="62">
        <v>2173325.0</v>
      </c>
      <c r="G4" s="5" t="s">
        <v>19</v>
      </c>
      <c r="H4" s="6">
        <v>6161.0</v>
      </c>
      <c r="I4" s="6">
        <v>7980.0</v>
      </c>
      <c r="J4" s="6">
        <v>5.0815985E7</v>
      </c>
      <c r="K4" s="6">
        <v>2.616405E7</v>
      </c>
      <c r="M4" s="58"/>
      <c r="N4" s="63"/>
      <c r="O4" s="63"/>
      <c r="P4" s="6">
        <v>0.0</v>
      </c>
      <c r="Q4" s="6">
        <v>0.0</v>
      </c>
    </row>
    <row r="5">
      <c r="A5" s="5" t="s">
        <v>20</v>
      </c>
      <c r="B5" s="6">
        <v>237.0</v>
      </c>
      <c r="C5" s="6">
        <v>325.0</v>
      </c>
      <c r="D5" s="6">
        <v>1908940.0</v>
      </c>
      <c r="E5" s="62">
        <v>942755.0</v>
      </c>
      <c r="G5" s="5" t="s">
        <v>20</v>
      </c>
      <c r="H5" s="6">
        <v>619.0</v>
      </c>
      <c r="I5" s="6">
        <v>939.0</v>
      </c>
      <c r="J5" s="6">
        <v>5396435.0</v>
      </c>
      <c r="K5" s="6">
        <v>2596110.0</v>
      </c>
      <c r="M5" s="58"/>
      <c r="N5" s="63"/>
      <c r="O5" s="63"/>
      <c r="P5" s="6">
        <v>0.0</v>
      </c>
      <c r="Q5" s="6">
        <v>0.0</v>
      </c>
    </row>
    <row r="6">
      <c r="A6" s="5" t="s">
        <v>21</v>
      </c>
      <c r="B6" s="6">
        <v>318.0</v>
      </c>
      <c r="C6" s="6">
        <v>467.0</v>
      </c>
      <c r="D6" s="6">
        <v>2357300.0</v>
      </c>
      <c r="E6" s="62">
        <v>1154450.0</v>
      </c>
      <c r="G6" s="5" t="s">
        <v>21</v>
      </c>
      <c r="H6" s="6">
        <v>546.0</v>
      </c>
      <c r="I6" s="6">
        <v>855.0</v>
      </c>
      <c r="J6" s="6">
        <v>4014505.0</v>
      </c>
      <c r="K6" s="6">
        <v>1990010.0</v>
      </c>
      <c r="M6" s="58"/>
      <c r="N6" s="63"/>
      <c r="O6" s="63"/>
      <c r="P6" s="6">
        <v>0.0</v>
      </c>
      <c r="Q6" s="6">
        <v>0.0</v>
      </c>
    </row>
    <row r="7">
      <c r="A7" s="5" t="s">
        <v>22</v>
      </c>
      <c r="B7" s="6">
        <v>317.0</v>
      </c>
      <c r="C7" s="6">
        <v>468.0</v>
      </c>
      <c r="D7" s="6">
        <v>2213530.0</v>
      </c>
      <c r="E7" s="62">
        <v>1063370.0</v>
      </c>
      <c r="G7" s="5" t="s">
        <v>22</v>
      </c>
      <c r="H7" s="6">
        <v>451.0</v>
      </c>
      <c r="I7" s="6">
        <v>696.0</v>
      </c>
      <c r="J7" s="6">
        <v>3515930.0</v>
      </c>
      <c r="K7" s="6">
        <v>1742015.0</v>
      </c>
      <c r="M7" s="58"/>
      <c r="N7" s="63"/>
      <c r="O7" s="63"/>
      <c r="P7" s="6">
        <v>0.0</v>
      </c>
      <c r="Q7" s="6">
        <v>0.0</v>
      </c>
    </row>
    <row r="8">
      <c r="A8" s="5" t="s">
        <v>23</v>
      </c>
      <c r="B8" s="6">
        <v>366.0</v>
      </c>
      <c r="C8" s="6">
        <v>615.0</v>
      </c>
      <c r="D8" s="6">
        <v>3017685.0</v>
      </c>
      <c r="E8" s="62">
        <v>1435610.0</v>
      </c>
      <c r="G8" s="5" t="s">
        <v>23</v>
      </c>
      <c r="H8" s="6">
        <v>939.0</v>
      </c>
      <c r="I8" s="6">
        <v>1579.0</v>
      </c>
      <c r="J8" s="6">
        <v>8754185.0</v>
      </c>
      <c r="K8" s="6">
        <v>4264700.0</v>
      </c>
      <c r="M8" s="5" t="s">
        <v>23</v>
      </c>
      <c r="N8" s="6">
        <v>5881.0</v>
      </c>
      <c r="O8" s="6">
        <v>7651.0</v>
      </c>
      <c r="P8" s="6">
        <v>4.608989E7</v>
      </c>
      <c r="Q8" s="6">
        <v>2.257783E7</v>
      </c>
    </row>
    <row r="9">
      <c r="A9" s="5" t="s">
        <v>24</v>
      </c>
      <c r="B9" s="6">
        <v>234.0</v>
      </c>
      <c r="C9" s="6">
        <v>339.0</v>
      </c>
      <c r="D9" s="6">
        <v>1575365.0</v>
      </c>
      <c r="E9" s="62">
        <v>740795.0</v>
      </c>
      <c r="G9" s="5" t="s">
        <v>24</v>
      </c>
      <c r="H9" s="6">
        <v>418.0</v>
      </c>
      <c r="I9" s="6">
        <v>687.0</v>
      </c>
      <c r="J9" s="6">
        <v>3430020.0</v>
      </c>
      <c r="K9" s="6">
        <v>1596375.0</v>
      </c>
      <c r="M9" s="5" t="s">
        <v>24</v>
      </c>
      <c r="N9" s="6">
        <v>690.0</v>
      </c>
      <c r="O9" s="6">
        <v>1011.0</v>
      </c>
      <c r="P9" s="6">
        <v>5531845.0</v>
      </c>
      <c r="Q9" s="6">
        <v>2540340.0</v>
      </c>
    </row>
    <row r="10">
      <c r="A10" s="5" t="s">
        <v>25</v>
      </c>
      <c r="B10" s="6">
        <v>254.0</v>
      </c>
      <c r="C10" s="6">
        <v>408.0</v>
      </c>
      <c r="D10" s="6">
        <v>1804770.0</v>
      </c>
      <c r="E10" s="62">
        <v>868560.0</v>
      </c>
      <c r="G10" s="5" t="s">
        <v>25</v>
      </c>
      <c r="H10" s="6">
        <v>442.0</v>
      </c>
      <c r="I10" s="6">
        <v>738.0</v>
      </c>
      <c r="J10" s="6">
        <v>3375460.0</v>
      </c>
      <c r="K10" s="6">
        <v>1614635.0</v>
      </c>
      <c r="M10" s="5" t="s">
        <v>25</v>
      </c>
      <c r="N10" s="6">
        <v>473.0</v>
      </c>
      <c r="O10" s="6">
        <v>675.0</v>
      </c>
      <c r="P10" s="6">
        <v>3571370.0</v>
      </c>
      <c r="Q10" s="6">
        <v>1677170.0</v>
      </c>
    </row>
    <row r="11">
      <c r="A11" s="5" t="s">
        <v>26</v>
      </c>
      <c r="B11" s="6">
        <v>269.0</v>
      </c>
      <c r="C11" s="6">
        <v>385.0</v>
      </c>
      <c r="D11" s="6">
        <v>1582735.0</v>
      </c>
      <c r="E11" s="62">
        <v>742940.0</v>
      </c>
      <c r="G11" s="5" t="s">
        <v>26</v>
      </c>
      <c r="H11" s="6">
        <v>430.0</v>
      </c>
      <c r="I11" s="6">
        <v>731.0</v>
      </c>
      <c r="J11" s="6">
        <v>3476385.0</v>
      </c>
      <c r="K11" s="6">
        <v>1640210.0</v>
      </c>
      <c r="M11" s="5" t="s">
        <v>26</v>
      </c>
      <c r="N11" s="6">
        <v>420.0</v>
      </c>
      <c r="O11" s="6">
        <v>601.0</v>
      </c>
      <c r="P11" s="6">
        <v>2838000.0</v>
      </c>
      <c r="Q11" s="6">
        <v>1371040.0</v>
      </c>
    </row>
    <row r="12">
      <c r="A12" s="5" t="s">
        <v>27</v>
      </c>
      <c r="B12" s="6">
        <v>358.0</v>
      </c>
      <c r="C12" s="6">
        <v>625.0</v>
      </c>
      <c r="D12" s="6">
        <v>3222065.0</v>
      </c>
      <c r="E12" s="62">
        <v>1519155.0</v>
      </c>
      <c r="G12" s="5" t="s">
        <v>27</v>
      </c>
      <c r="H12" s="6">
        <v>885.0</v>
      </c>
      <c r="I12" s="6">
        <v>1542.0</v>
      </c>
      <c r="J12" s="6">
        <v>8510590.0</v>
      </c>
      <c r="K12" s="6">
        <v>4095850.0</v>
      </c>
      <c r="M12" s="5" t="s">
        <v>27</v>
      </c>
      <c r="N12" s="6">
        <v>999.0</v>
      </c>
      <c r="O12" s="6">
        <v>1660.0</v>
      </c>
      <c r="P12" s="6">
        <v>8927160.0</v>
      </c>
      <c r="Q12" s="6">
        <v>4306665.0</v>
      </c>
    </row>
    <row r="13">
      <c r="A13" s="5" t="s">
        <v>28</v>
      </c>
      <c r="B13" s="6">
        <v>220.0</v>
      </c>
      <c r="C13" s="6">
        <v>323.0</v>
      </c>
      <c r="D13" s="6">
        <v>1638945.0</v>
      </c>
      <c r="E13" s="62">
        <v>766755.0</v>
      </c>
      <c r="G13" s="5" t="s">
        <v>28</v>
      </c>
      <c r="H13" s="6">
        <v>381.0</v>
      </c>
      <c r="I13" s="6">
        <v>625.0</v>
      </c>
      <c r="J13" s="6">
        <v>3439535.0</v>
      </c>
      <c r="K13" s="6">
        <v>1651705.0</v>
      </c>
      <c r="M13" s="5" t="s">
        <v>28</v>
      </c>
      <c r="N13" s="6">
        <v>387.0</v>
      </c>
      <c r="O13" s="6">
        <v>562.0</v>
      </c>
      <c r="P13" s="6">
        <v>3135275.0</v>
      </c>
      <c r="Q13" s="6">
        <v>1509805.0</v>
      </c>
    </row>
    <row r="14">
      <c r="A14" s="5" t="s">
        <v>29</v>
      </c>
      <c r="B14" s="6">
        <v>224.0</v>
      </c>
      <c r="C14" s="6">
        <v>338.0</v>
      </c>
      <c r="D14" s="6">
        <v>1742675.0</v>
      </c>
      <c r="E14" s="62">
        <v>828905.0</v>
      </c>
      <c r="G14" s="5" t="s">
        <v>29</v>
      </c>
      <c r="H14" s="6">
        <v>384.0</v>
      </c>
      <c r="I14" s="6">
        <v>654.0</v>
      </c>
      <c r="J14" s="6">
        <v>3467475.0</v>
      </c>
      <c r="K14" s="6">
        <v>1650495.0</v>
      </c>
      <c r="M14" s="5" t="s">
        <v>29</v>
      </c>
      <c r="N14" s="6">
        <v>343.0</v>
      </c>
      <c r="O14" s="6">
        <v>522.0</v>
      </c>
      <c r="P14" s="6">
        <v>2546775.0</v>
      </c>
      <c r="Q14" s="6">
        <v>1241075.0</v>
      </c>
    </row>
    <row r="15">
      <c r="A15" s="5" t="s">
        <v>30</v>
      </c>
      <c r="B15" s="6">
        <v>230.0</v>
      </c>
      <c r="C15" s="6">
        <v>349.0</v>
      </c>
      <c r="D15" s="6">
        <v>1446720.0</v>
      </c>
      <c r="E15" s="62">
        <v>692780.0</v>
      </c>
      <c r="G15" s="5" t="s">
        <v>30</v>
      </c>
      <c r="H15" s="6">
        <v>351.0</v>
      </c>
      <c r="I15" s="6">
        <v>561.0</v>
      </c>
      <c r="J15" s="6">
        <v>2413840.0</v>
      </c>
      <c r="K15" s="6">
        <v>1158025.0</v>
      </c>
      <c r="M15" s="5" t="s">
        <v>30</v>
      </c>
      <c r="N15" s="6">
        <v>356.0</v>
      </c>
      <c r="O15" s="6">
        <v>518.0</v>
      </c>
      <c r="P15" s="6">
        <v>2251975.0</v>
      </c>
      <c r="Q15" s="6">
        <v>1074480.0</v>
      </c>
    </row>
    <row r="16">
      <c r="A16" s="37" t="s">
        <v>31</v>
      </c>
      <c r="B16" s="38">
        <v>311.0</v>
      </c>
      <c r="C16" s="38">
        <v>523.0</v>
      </c>
      <c r="D16" s="38">
        <v>2693735.0</v>
      </c>
      <c r="E16" s="64">
        <v>1293325.0</v>
      </c>
      <c r="G16" s="37" t="s">
        <v>31</v>
      </c>
      <c r="H16" s="38">
        <v>743.0</v>
      </c>
      <c r="I16" s="38">
        <v>1364.0</v>
      </c>
      <c r="J16" s="38">
        <v>7542645.0</v>
      </c>
      <c r="K16" s="38">
        <v>3669875.0</v>
      </c>
      <c r="M16" s="37" t="s">
        <v>31</v>
      </c>
      <c r="N16" s="38">
        <v>778.0</v>
      </c>
      <c r="O16" s="38">
        <v>1300.0</v>
      </c>
      <c r="P16" s="38">
        <v>7285410.0</v>
      </c>
      <c r="Q16" s="38">
        <v>3469510.0</v>
      </c>
    </row>
    <row r="17">
      <c r="A17" s="60"/>
      <c r="B17" s="60"/>
      <c r="C17" s="26"/>
      <c r="D17" s="26"/>
      <c r="E17" s="26"/>
    </row>
    <row r="18">
      <c r="A18" s="33" t="s">
        <v>13</v>
      </c>
      <c r="B18" s="34" t="s">
        <v>1</v>
      </c>
      <c r="C18" s="34" t="s">
        <v>14</v>
      </c>
      <c r="D18" s="33" t="s">
        <v>6</v>
      </c>
      <c r="E18" s="61" t="s">
        <v>4</v>
      </c>
    </row>
    <row r="19">
      <c r="A19" s="5" t="s">
        <v>18</v>
      </c>
      <c r="B19" s="6">
        <v>2842.0</v>
      </c>
      <c r="C19" s="6">
        <v>3593.0</v>
      </c>
      <c r="D19" s="6">
        <v>1.8866045E7</v>
      </c>
      <c r="E19" s="62">
        <v>9389215.0</v>
      </c>
    </row>
    <row r="20">
      <c r="A20" s="5" t="s">
        <v>19</v>
      </c>
      <c r="B20" s="6">
        <v>6161.0</v>
      </c>
      <c r="C20" s="6">
        <v>7980.0</v>
      </c>
      <c r="D20" s="6">
        <v>5.0815985E7</v>
      </c>
      <c r="E20" s="6">
        <v>2.616405E7</v>
      </c>
    </row>
    <row r="21">
      <c r="A21" s="5" t="s">
        <v>23</v>
      </c>
      <c r="B21" s="6">
        <v>5881.0</v>
      </c>
      <c r="C21" s="6">
        <v>7651.0</v>
      </c>
      <c r="D21" s="6">
        <v>4.608989E7</v>
      </c>
      <c r="E21" s="6">
        <v>2.257783E7</v>
      </c>
    </row>
    <row r="23">
      <c r="A23" s="33" t="s">
        <v>13</v>
      </c>
      <c r="B23" s="34" t="s">
        <v>14</v>
      </c>
    </row>
    <row r="24">
      <c r="A24" s="5" t="s">
        <v>18</v>
      </c>
      <c r="B24" s="6">
        <v>3593.0</v>
      </c>
    </row>
    <row r="25">
      <c r="A25" s="5" t="s">
        <v>19</v>
      </c>
      <c r="B25" s="6">
        <v>7980.0</v>
      </c>
    </row>
    <row r="26">
      <c r="A26" s="5" t="s">
        <v>23</v>
      </c>
      <c r="B26" s="6">
        <v>7651.0</v>
      </c>
    </row>
    <row r="28">
      <c r="A28" s="33" t="s">
        <v>13</v>
      </c>
      <c r="B28" s="33" t="s">
        <v>6</v>
      </c>
    </row>
    <row r="29">
      <c r="A29" s="5" t="s">
        <v>18</v>
      </c>
      <c r="B29" s="6">
        <v>1.8866045E7</v>
      </c>
    </row>
    <row r="30">
      <c r="A30" s="5" t="s">
        <v>19</v>
      </c>
      <c r="B30" s="6">
        <v>5.0815985E7</v>
      </c>
    </row>
    <row r="31">
      <c r="A31" s="5" t="s">
        <v>23</v>
      </c>
      <c r="B31" s="6">
        <v>4.608989E7</v>
      </c>
    </row>
    <row r="33">
      <c r="A33" s="33" t="s">
        <v>13</v>
      </c>
      <c r="B33" s="61" t="s">
        <v>4</v>
      </c>
    </row>
    <row r="34">
      <c r="A34" s="5" t="s">
        <v>18</v>
      </c>
      <c r="B34" s="6">
        <v>9389215.0</v>
      </c>
    </row>
    <row r="35">
      <c r="A35" s="5" t="s">
        <v>19</v>
      </c>
      <c r="B35" s="6">
        <v>2.616405E7</v>
      </c>
    </row>
    <row r="36">
      <c r="A36" s="5" t="s">
        <v>23</v>
      </c>
      <c r="B36" s="6">
        <v>2.257783E7</v>
      </c>
    </row>
  </sheetData>
  <drawing r:id="rId1"/>
</worksheet>
</file>